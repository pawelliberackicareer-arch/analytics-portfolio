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ethodology" sheetId="2" state="visible" r:id="rId4"/>
    <sheet name="Parameters" sheetId="3" state="visible" r:id="rId5"/>
    <sheet name="Data_Anomalies" sheetId="4" state="visible" r:id="rId6"/>
    <sheet name="Data_Suppliers" sheetId="5" state="visible" r:id="rId7"/>
    <sheet name="Data_Buyers" sheetId="6" state="visible" r:id="rId8"/>
    <sheet name="Data_Categories" sheetId="7" state="visible" r:id="rId9"/>
    <sheet name="Data_Months" sheetId="8" state="visible" r:id="rId10"/>
    <sheet name="Data_Outliers" sheetId="9" state="visible" r:id="rId11"/>
    <sheet name="Calculations" sheetId="10" state="visible" r:id="rId12"/>
  </sheets>
  <definedNames>
    <definedName function="false" hidden="false" localSheetId="0" name="_xlnm.Print_Area" vbProcedure="false">Dashboard!$A$1:$S$94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<sst xmlns="http://schemas.openxmlformats.org/spreadsheetml/2006/main" count="774" uniqueCount="379">
  <si>
    <t xml:space="preserve">PROCUREMENT INTELLIGENCE DASHBOARD  │  Purchasing analysis 2024–2025</t>
  </si>
  <si>
    <t xml:space="preserve">TOTAL SPEND</t>
  </si>
  <si>
    <t xml:space="preserve">CATEGORY CONCENTRATION</t>
  </si>
  <si>
    <t xml:space="preserve">HIGHEST Y/Y GROWTH</t>
  </si>
  <si>
    <t xml:space="preserve">PARETO 80% OF SPEND</t>
  </si>
  <si>
    <t xml:space="preserve">LARGEST SINGLE TXN</t>
  </si>
  <si>
    <t xml:space="preserve">ANOMALY VALUE</t>
  </si>
  <si>
    <t xml:space="preserve">PRICE ANOMALIES</t>
  </si>
  <si>
    <t xml:space="preserve">QUANTITY ANOMALIES</t>
  </si>
  <si>
    <t xml:space="preserve">PRICE OUTLIERS (μ+2σ)</t>
  </si>
  <si>
    <t xml:space="preserve">SPLIT ORDERS</t>
  </si>
  <si>
    <t xml:space="preserve">  1 │ SPEND ANALYSIS</t>
  </si>
  <si>
    <t xml:space="preserve">  2 │ ANOMALY MONITORING / AUDIT</t>
  </si>
  <si>
    <t xml:space="preserve">  3 │ SUPPLIER EVALUATION</t>
  </si>
  <si>
    <t xml:space="preserve">Spend by category – share of wallet</t>
  </si>
  <si>
    <t xml:space="preserve">Anomalies flagged in the database (transaction type)</t>
  </si>
  <si>
    <t xml:space="preserve">TOP 15 suppliers – spend and anomalies</t>
  </si>
  <si>
    <t xml:space="preserve">Category</t>
  </si>
  <si>
    <t xml:space="preserve">M PLN</t>
  </si>
  <si>
    <t xml:space="preserve">Share</t>
  </si>
  <si>
    <t xml:space="preserve">Change y/y</t>
  </si>
  <si>
    <t xml:space="preserve">Δ M PLN</t>
  </si>
  <si>
    <t xml:space="preserve">Type</t>
  </si>
  <si>
    <t xml:space="preserve">Txn</t>
  </si>
  <si>
    <t xml:space="preserve">% spend</t>
  </si>
  <si>
    <t xml:space="preserve">Most frequent cat.</t>
  </si>
  <si>
    <t xml:space="preserve">Supplier</t>
  </si>
  <si>
    <t xml:space="preserve">Anomalies</t>
  </si>
  <si>
    <t xml:space="preserve">Price anomaly</t>
  </si>
  <si>
    <t xml:space="preserve">Quantity anomaly</t>
  </si>
  <si>
    <t xml:space="preserve">Total</t>
  </si>
  <si>
    <t xml:space="preserve">Statistical outliers (price &gt; μ+2σ in category)</t>
  </si>
  <si>
    <t xml:space="preserve">Outliers</t>
  </si>
  <si>
    <t xml:space="preserve">Threshold PLN/u.</t>
  </si>
  <si>
    <t xml:space="preserve">Risk</t>
  </si>
  <si>
    <t xml:space="preserve">Monthly trend 2024 vs 2025 (M PLN)</t>
  </si>
  <si>
    <t xml:space="preserve">Month</t>
  </si>
  <si>
    <t xml:space="preserve">2024</t>
  </si>
  <si>
    <t xml:space="preserve">2025</t>
  </si>
  <si>
    <t xml:space="preserve">Δ %</t>
  </si>
  <si>
    <t xml:space="preserve">TOP 5 anomalous transactions (by value)</t>
  </si>
  <si>
    <t xml:space="preserve">Order ID</t>
  </si>
  <si>
    <t xml:space="preserve">Date</t>
  </si>
  <si>
    <t xml:space="preserve">Risk scorecard – TOP 8 by anomaly value</t>
  </si>
  <si>
    <t xml:space="preserve"># anom.</t>
  </si>
  <si>
    <t xml:space="preserve">Top category</t>
  </si>
  <si>
    <t xml:space="preserve">Rating</t>
  </si>
  <si>
    <t xml:space="preserve">Buyers – value of anomalous transactions</t>
  </si>
  <si>
    <t xml:space="preserve">Buyer</t>
  </si>
  <si>
    <t xml:space="preserve">% anom. value</t>
  </si>
  <si>
    <t xml:space="preserve">Level</t>
  </si>
  <si>
    <t xml:space="preserve">Monthly trend – chart (M PLN)</t>
  </si>
  <si>
    <t xml:space="preserve">Buyers – spend and activity</t>
  </si>
  <si>
    <t xml:space="preserve">Avg txn PLN</t>
  </si>
  <si>
    <t xml:space="preserve">Spend by category (M PLN)</t>
  </si>
  <si>
    <t xml:space="preserve">Anomaly value by category and type (M PLN)</t>
  </si>
  <si>
    <t xml:space="preserve">TOP 10 suppliers – spend (M PLN)</t>
  </si>
  <si>
    <t xml:space="preserve">  4 │ RED FLAGS – WARNING SIGNALS</t>
  </si>
  <si>
    <t xml:space="preserve">Alerts for the purchasing team (priority set by rules in the Parameters sheet)</t>
  </si>
  <si>
    <t xml:space="preserve">Priority</t>
  </si>
  <si>
    <t xml:space="preserve">Warning signal</t>
  </si>
  <si>
    <t xml:space="preserve">Value at risk (M PLN)</t>
  </si>
  <si>
    <t xml:space="preserve">Area</t>
  </si>
  <si>
    <t xml:space="preserve">Recommended action</t>
  </si>
  <si>
    <t xml:space="preserve">CRITICAL</t>
  </si>
  <si>
    <t xml:space="preserve">Physical delivery audit + payment hold</t>
  </si>
  <si>
    <t xml:space="preserve">Check the invoice and purchase order (PO) now</t>
  </si>
  <si>
    <t xml:space="preserve">Compare market prices with framework agreements</t>
  </si>
  <si>
    <t xml:space="preserve">Supplier due diligence + renegotiate terms</t>
  </si>
  <si>
    <t xml:space="preserve">WARNING</t>
  </si>
  <si>
    <t xml:space="preserve">All categories</t>
  </si>
  <si>
    <t xml:space="preserve">Audit tender thresholds + update the policy</t>
  </si>
  <si>
    <t xml:space="preserve">Review price lists + audit framework agreements</t>
  </si>
  <si>
    <t xml:space="preserve">Review the budget + ROI of spend</t>
  </si>
  <si>
    <t xml:space="preserve">Review approval rights – four-eyes rule</t>
  </si>
  <si>
    <t xml:space="preserve">WATCH</t>
  </si>
  <si>
    <t xml:space="preserve">Whole portfolio</t>
  </si>
  <si>
    <t xml:space="preserve">Office Supplies</t>
  </si>
  <si>
    <t xml:space="preserve">E-catalogue / framework agreement with 1 supplier</t>
  </si>
  <si>
    <t xml:space="preserve">Raw Materials</t>
  </si>
  <si>
    <t xml:space="preserve">Keep price discipline; monitor in Q1</t>
  </si>
  <si>
    <t xml:space="preserve">Logistics</t>
  </si>
  <si>
    <t xml:space="preserve">Monitor vs PPI + renegotiate in Q1</t>
  </si>
  <si>
    <t xml:space="preserve">Method: anomalies = transactions flagged in the source database (price / quantity type); outliers = unit price &gt; μ+2σ in the category; split order = &gt;1 txn on the same day / buyer / supplier / category; Pareto = number of suppliers needed for 80% of spend. Rating and priority thresholds: Parameters sheet. Details: Methodology sheet.</t>
  </si>
  <si>
    <t xml:space="preserve">PROCUREMENT INTELLIGENCE DASHBOARD – methodology</t>
  </si>
  <si>
    <t xml:space="preserve">Goal</t>
  </si>
  <si>
    <t xml:space="preserve">A quick review of 2 years of purchasing: where the money goes, which transactions look suspicious, which suppliers and buyers need attention, and what to do first.</t>
  </si>
  <si>
    <t xml:space="preserve">Data source</t>
  </si>
  <si>
    <t xml:space="preserve">A database of 100,000 purchase transactions (2024–2025): date, category, supplier, buyer, quantity, unit price, transaction type. This file holds aggregates from that database + the full list of 80 anomalous transactions.</t>
  </si>
  <si>
    <t xml:space="preserve">Anonymisation</t>
  </si>
  <si>
    <t xml:space="preserve">Supplier names, buyer names and order numbers are changed. PLN values are transformed, but proportions, shares, y/y changes and transaction counts are kept, so the conclusions are the same.</t>
  </si>
  <si>
    <t xml:space="preserve">File structure</t>
  </si>
  <si>
    <t xml:space="preserve">Dashboard – the view for a manager. Data_* – input data (aggregates and transactions). Calculations – helper metrics. Parameters – thresholds and benchmarks (you can change them). Every number on the dashboard is a formula.</t>
  </si>
  <si>
    <t xml:space="preserve">Price / quantity anomaly</t>
  </si>
  <si>
    <t xml:space="preserve">Transactions flagged in the source database (transaction type column): unit price or quantity clearly above normal.</t>
  </si>
  <si>
    <t xml:space="preserve">Price outlier</t>
  </si>
  <si>
    <t xml:space="preserve">A transaction with a unit price higher than the mean + 2 standard deviations (μ+2σ) in its category.</t>
  </si>
  <si>
    <t xml:space="preserve">Split order</t>
  </si>
  <si>
    <t xml:space="preserve">More than 1 transaction on the same day, by the same buyer, with the same supplier, in the same category – a possible split of one order to stay under the tender limit.</t>
  </si>
  <si>
    <t xml:space="preserve">Pareto</t>
  </si>
  <si>
    <t xml:space="preserve">How many suppliers (from the largest) are needed to cover 80% of spend. A high number = a spread-out supplier base and room to consolidate.</t>
  </si>
  <si>
    <t xml:space="preserve">Supplier rating</t>
  </si>
  <si>
    <t xml:space="preserve">Based on the number of anomalies: HIGH from 4, ELEVATED from 2, below that LOW (thresholds in the Parameters sheet).</t>
  </si>
  <si>
    <t xml:space="preserve">Buyer level</t>
  </si>
  <si>
    <t xml:space="preserve">Based on the number of anomalies: HIGH from 8, MEDIUM from 5, below that LOW.</t>
  </si>
  <si>
    <t xml:space="preserve">Outlier risk</t>
  </si>
  <si>
    <t xml:space="preserve">Based on the outlier value in a category: HIGH from 20 M PLN, MEDIUM from 5 M PLN.</t>
  </si>
  <si>
    <t xml:space="preserve">Inflation benchmark</t>
  </si>
  <si>
    <t xml:space="preserve">Polish PPI 2025 (GUS) ~3.5% y/y. Excess vs PPI = spend 2025 − spend 2024 × (1 + PPI).</t>
  </si>
  <si>
    <t xml:space="preserve">Quality check</t>
  </si>
  <si>
    <t xml:space="preserve">Total spend by category, by month and by supplier is compared automatically (Calculations sheet, end of list). The status is shown at the bottom of the dashboard.</t>
  </si>
  <si>
    <t xml:space="preserve">Colours</t>
  </si>
  <si>
    <t xml:space="preserve">Red = needs action, yellow = watch, green = fine. Blue font on a yellow background = input cell you can edit.</t>
  </si>
  <si>
    <t xml:space="preserve">Author</t>
  </si>
  <si>
    <t xml:space="preserve">Paweł Liberacki – pawelliberackicareer@gmail.com</t>
  </si>
  <si>
    <t xml:space="preserve">Parameter</t>
  </si>
  <si>
    <t xml:space="preserve">Value</t>
  </si>
  <si>
    <t xml:space="preserve">Description</t>
  </si>
  <si>
    <t xml:space="preserve">Polish PPI 2025 (GUS, y/y)</t>
  </si>
  <si>
    <t xml:space="preserve">Producer price inflation benchmark – reference point for year-on-year growth</t>
  </si>
  <si>
    <t xml:space="preserve">Supplier rating HIGH – min. anomalies</t>
  </si>
  <si>
    <t xml:space="preserve">Number of anomalies from which a supplier is rated HIGH</t>
  </si>
  <si>
    <t xml:space="preserve">Supplier rating ELEVATED – min. anomalies</t>
  </si>
  <si>
    <t xml:space="preserve">From this number the rating is ELEVATED (below: LOW)</t>
  </si>
  <si>
    <t xml:space="preserve">Buyer level HIGH – min. anomalies</t>
  </si>
  <si>
    <t xml:space="preserve">Number of buyer anomalies for level HIGH</t>
  </si>
  <si>
    <t xml:space="preserve">Buyer level MEDIUM – min. anomalies</t>
  </si>
  <si>
    <t xml:space="preserve">Number of buyer anomalies for level MEDIUM</t>
  </si>
  <si>
    <t xml:space="preserve">Outliers – risk HIGH from (M PLN)</t>
  </si>
  <si>
    <t xml:space="preserve">Outlier value in a category for risk HIGH</t>
  </si>
  <si>
    <t xml:space="preserve">Outliers – risk MEDIUM from (M PLN)</t>
  </si>
  <si>
    <t xml:space="preserve">Outlier value in a category for risk MEDIUM</t>
  </si>
  <si>
    <t xml:space="preserve">Pareto – share threshold</t>
  </si>
  <si>
    <t xml:space="preserve">Share of spend used in the Pareto analysis</t>
  </si>
  <si>
    <t xml:space="preserve">KPI – max. share of one category</t>
  </si>
  <si>
    <t xml:space="preserve">Target limit for spend concentration in one category</t>
  </si>
  <si>
    <t xml:space="preserve">Consolidation target – number of suppliers</t>
  </si>
  <si>
    <t xml:space="preserve">Target number of suppliers after consolidation</t>
  </si>
  <si>
    <t xml:space="preserve">Cells with a yellow background and blue font can be changed – the whole dashboard recalculates automatically.</t>
  </si>
  <si>
    <t xml:space="preserve">Order_ID</t>
  </si>
  <si>
    <t xml:space="preserve">Quantity</t>
  </si>
  <si>
    <t xml:space="preserve">Unit_price_PLN</t>
  </si>
  <si>
    <t xml:space="preserve">Anomaly_type</t>
  </si>
  <si>
    <t xml:space="preserve">Value_PLN</t>
  </si>
  <si>
    <t xml:space="preserve">PO-817370</t>
  </si>
  <si>
    <t xml:space="preserve">IT Hardware</t>
  </si>
  <si>
    <t xml:space="preserve">SUP-46</t>
  </si>
  <si>
    <t xml:space="preserve">BUYER-06</t>
  </si>
  <si>
    <t xml:space="preserve">PO-663941</t>
  </si>
  <si>
    <t xml:space="preserve">SUP-14</t>
  </si>
  <si>
    <t xml:space="preserve">BUYER-09</t>
  </si>
  <si>
    <t xml:space="preserve">PO-417578</t>
  </si>
  <si>
    <t xml:space="preserve">SUP-30</t>
  </si>
  <si>
    <t xml:space="preserve">BUYER-02</t>
  </si>
  <si>
    <t xml:space="preserve">PO-393878</t>
  </si>
  <si>
    <t xml:space="preserve">SUP-12</t>
  </si>
  <si>
    <t xml:space="preserve">PO-474907</t>
  </si>
  <si>
    <t xml:space="preserve">Marketing Services</t>
  </si>
  <si>
    <t xml:space="preserve">BUYER-03</t>
  </si>
  <si>
    <t xml:space="preserve">PO-130587</t>
  </si>
  <si>
    <t xml:space="preserve">SUP-33</t>
  </si>
  <si>
    <t xml:space="preserve">BUYER-05</t>
  </si>
  <si>
    <t xml:space="preserve">PO-610335</t>
  </si>
  <si>
    <t xml:space="preserve">SUP-22</t>
  </si>
  <si>
    <t xml:space="preserve">PO-943739</t>
  </si>
  <si>
    <t xml:space="preserve">SUP-43</t>
  </si>
  <si>
    <t xml:space="preserve">BUYER-08</t>
  </si>
  <si>
    <t xml:space="preserve">PO-467498</t>
  </si>
  <si>
    <t xml:space="preserve">Media &amp; Energy</t>
  </si>
  <si>
    <t xml:space="preserve">SUP-27</t>
  </si>
  <si>
    <t xml:space="preserve">PO-330583</t>
  </si>
  <si>
    <t xml:space="preserve">SUP-23</t>
  </si>
  <si>
    <t xml:space="preserve">PO-708043</t>
  </si>
  <si>
    <t xml:space="preserve">SUP-01</t>
  </si>
  <si>
    <t xml:space="preserve">PO-777420</t>
  </si>
  <si>
    <t xml:space="preserve">SUP-35</t>
  </si>
  <si>
    <t xml:space="preserve">PO-195144</t>
  </si>
  <si>
    <t xml:space="preserve">BUYER-10</t>
  </si>
  <si>
    <t xml:space="preserve">PO-952353</t>
  </si>
  <si>
    <t xml:space="preserve">BUYER-07</t>
  </si>
  <si>
    <t xml:space="preserve">PO-382414</t>
  </si>
  <si>
    <t xml:space="preserve">SUP-17</t>
  </si>
  <si>
    <t xml:space="preserve">PO-442002</t>
  </si>
  <si>
    <t xml:space="preserve">SUP-47</t>
  </si>
  <si>
    <t xml:space="preserve">BUYER-04</t>
  </si>
  <si>
    <t xml:space="preserve">PO-305087</t>
  </si>
  <si>
    <t xml:space="preserve">SUP-39</t>
  </si>
  <si>
    <t xml:space="preserve">PO-568674</t>
  </si>
  <si>
    <t xml:space="preserve">SUP-44</t>
  </si>
  <si>
    <t xml:space="preserve">PO-951484</t>
  </si>
  <si>
    <t xml:space="preserve">PO-239516</t>
  </si>
  <si>
    <t xml:space="preserve">SUP-21</t>
  </si>
  <si>
    <t xml:space="preserve">PO-990735</t>
  </si>
  <si>
    <t xml:space="preserve">SUP-13</t>
  </si>
  <si>
    <t xml:space="preserve">PO-962607</t>
  </si>
  <si>
    <t xml:space="preserve">PO-758071</t>
  </si>
  <si>
    <t xml:space="preserve">PO-525454</t>
  </si>
  <si>
    <t xml:space="preserve">SUP-49</t>
  </si>
  <si>
    <t xml:space="preserve">PO-621987</t>
  </si>
  <si>
    <t xml:space="preserve">SUP-41</t>
  </si>
  <si>
    <t xml:space="preserve">PO-244246</t>
  </si>
  <si>
    <t xml:space="preserve">PO-387382</t>
  </si>
  <si>
    <t xml:space="preserve">SUP-48</t>
  </si>
  <si>
    <t xml:space="preserve">PO-368412</t>
  </si>
  <si>
    <t xml:space="preserve">PO-505693</t>
  </si>
  <si>
    <t xml:space="preserve">PO-754297</t>
  </si>
  <si>
    <t xml:space="preserve">SUP-02</t>
  </si>
  <si>
    <t xml:space="preserve">PO-914207</t>
  </si>
  <si>
    <t xml:space="preserve">PO-567426</t>
  </si>
  <si>
    <t xml:space="preserve">PO-975319</t>
  </si>
  <si>
    <t xml:space="preserve">PO-422855</t>
  </si>
  <si>
    <t xml:space="preserve">PO-658837</t>
  </si>
  <si>
    <t xml:space="preserve">PO-796780</t>
  </si>
  <si>
    <t xml:space="preserve">SUP-29</t>
  </si>
  <si>
    <t xml:space="preserve">PO-885984</t>
  </si>
  <si>
    <t xml:space="preserve">PO-478151</t>
  </si>
  <si>
    <t xml:space="preserve">BUYER-01</t>
  </si>
  <si>
    <t xml:space="preserve">PO-343297</t>
  </si>
  <si>
    <t xml:space="preserve">SUP-31</t>
  </si>
  <si>
    <t xml:space="preserve">PO-870159</t>
  </si>
  <si>
    <t xml:space="preserve">SUP-08</t>
  </si>
  <si>
    <t xml:space="preserve">PO-152860</t>
  </si>
  <si>
    <t xml:space="preserve">SUP-34</t>
  </si>
  <si>
    <t xml:space="preserve">PO-814596</t>
  </si>
  <si>
    <t xml:space="preserve">PO-101622</t>
  </si>
  <si>
    <t xml:space="preserve">SUP-20</t>
  </si>
  <si>
    <t xml:space="preserve">PO-757042</t>
  </si>
  <si>
    <t xml:space="preserve">SUP-28</t>
  </si>
  <si>
    <t xml:space="preserve">PO-131181</t>
  </si>
  <si>
    <t xml:space="preserve">SUP-07</t>
  </si>
  <si>
    <t xml:space="preserve">PO-549943</t>
  </si>
  <si>
    <t xml:space="preserve">SUP-10</t>
  </si>
  <si>
    <t xml:space="preserve">PO-373208</t>
  </si>
  <si>
    <t xml:space="preserve">PO-121269</t>
  </si>
  <si>
    <t xml:space="preserve">PO-645662</t>
  </si>
  <si>
    <t xml:space="preserve">PO-545321</t>
  </si>
  <si>
    <t xml:space="preserve">PO-271181</t>
  </si>
  <si>
    <t xml:space="preserve">PO-586017</t>
  </si>
  <si>
    <t xml:space="preserve">SUP-45</t>
  </si>
  <si>
    <t xml:space="preserve">PO-184098</t>
  </si>
  <si>
    <t xml:space="preserve">SUP-06</t>
  </si>
  <si>
    <t xml:space="preserve">PO-543766</t>
  </si>
  <si>
    <t xml:space="preserve">PO-485011</t>
  </si>
  <si>
    <t xml:space="preserve">SUP-24</t>
  </si>
  <si>
    <t xml:space="preserve">PO-730707</t>
  </si>
  <si>
    <t xml:space="preserve">PO-730894</t>
  </si>
  <si>
    <t xml:space="preserve">PO-270003</t>
  </si>
  <si>
    <t xml:space="preserve">PO-499423</t>
  </si>
  <si>
    <t xml:space="preserve">SUP-26</t>
  </si>
  <si>
    <t xml:space="preserve">PO-763252</t>
  </si>
  <si>
    <t xml:space="preserve">SUP-38</t>
  </si>
  <si>
    <t xml:space="preserve">PO-818224</t>
  </si>
  <si>
    <t xml:space="preserve">SUP-09</t>
  </si>
  <si>
    <t xml:space="preserve">PO-769534</t>
  </si>
  <si>
    <t xml:space="preserve">PO-474625</t>
  </si>
  <si>
    <t xml:space="preserve">PO-964675</t>
  </si>
  <si>
    <t xml:space="preserve">PO-522950</t>
  </si>
  <si>
    <t xml:space="preserve">PO-382808</t>
  </si>
  <si>
    <t xml:space="preserve">PO-135079</t>
  </si>
  <si>
    <t xml:space="preserve">PO-422399</t>
  </si>
  <si>
    <t xml:space="preserve">PO-103729</t>
  </si>
  <si>
    <t xml:space="preserve">PO-434909</t>
  </si>
  <si>
    <t xml:space="preserve">SUP-15</t>
  </si>
  <si>
    <t xml:space="preserve">PO-899547</t>
  </si>
  <si>
    <t xml:space="preserve">PO-170513</t>
  </si>
  <si>
    <t xml:space="preserve">PO-619433</t>
  </si>
  <si>
    <t xml:space="preserve">PO-470675</t>
  </si>
  <si>
    <t xml:space="preserve">PO-257190</t>
  </si>
  <si>
    <t xml:space="preserve">PO-335378</t>
  </si>
  <si>
    <t xml:space="preserve">SUP-50</t>
  </si>
  <si>
    <t xml:space="preserve">PO-593602</t>
  </si>
  <si>
    <t xml:space="preserve">SUP-40</t>
  </si>
  <si>
    <t xml:space="preserve">PO-194696</t>
  </si>
  <si>
    <t xml:space="preserve">PO-659317</t>
  </si>
  <si>
    <t xml:space="preserve">PO-726341</t>
  </si>
  <si>
    <t xml:space="preserve">Transactions flagged as anomalies in the source database. Value_PLN = Quantity × Unit_price_PLN.</t>
  </si>
  <si>
    <t xml:space="preserve">Spend_PLN</t>
  </si>
  <si>
    <t xml:space="preserve">Txn_count</t>
  </si>
  <si>
    <t xml:space="preserve">Avg_txn_value</t>
  </si>
  <si>
    <t xml:space="preserve">Spend_share</t>
  </si>
  <si>
    <t xml:space="preserve">Anomaly_count</t>
  </si>
  <si>
    <t xml:space="preserve">Anomaly_value_PLN</t>
  </si>
  <si>
    <t xml:space="preserve">Risk_rating</t>
  </si>
  <si>
    <t xml:space="preserve">Cumulative_share</t>
  </si>
  <si>
    <t xml:space="preserve">Top_anomaly_category</t>
  </si>
  <si>
    <t xml:space="preserve">SUP-18</t>
  </si>
  <si>
    <t xml:space="preserve">SUP-05</t>
  </si>
  <si>
    <t xml:space="preserve">SUP-04</t>
  </si>
  <si>
    <t xml:space="preserve">SUP-11</t>
  </si>
  <si>
    <t xml:space="preserve">SUP-16</t>
  </si>
  <si>
    <t xml:space="preserve">SUP-19</t>
  </si>
  <si>
    <t xml:space="preserve">SUP-25</t>
  </si>
  <si>
    <t xml:space="preserve">SUP-42</t>
  </si>
  <si>
    <t xml:space="preserve">SUP-37</t>
  </si>
  <si>
    <t xml:space="preserve">SUP-36</t>
  </si>
  <si>
    <t xml:space="preserve">SUP-32</t>
  </si>
  <si>
    <t xml:space="preserve">SUP-03</t>
  </si>
  <si>
    <t xml:space="preserve">Spend and transaction count: aggregates from the 100,000-transaction database. Anomaly columns are formulas based on Data_Anomalies. Columns J–O: anomaly value of the supplier in each category.</t>
  </si>
  <si>
    <t xml:space="preserve">Spend_M_PLN</t>
  </si>
  <si>
    <t xml:space="preserve">Avg_txn_value_PLN</t>
  </si>
  <si>
    <t xml:space="preserve">Share_of_anomaly_value</t>
  </si>
  <si>
    <t xml:space="preserve">Spend and transaction count: aggregates from the source database. Anomalies are formulas based on Data_Anomalies.</t>
  </si>
  <si>
    <t xml:space="preserve">Spend_2024_M_PLN</t>
  </si>
  <si>
    <t xml:space="preserve">Spend_2025_M_PLN</t>
  </si>
  <si>
    <t xml:space="preserve">Spend_total_M_PLN</t>
  </si>
  <si>
    <t xml:space="preserve">Change_yy</t>
  </si>
  <si>
    <t xml:space="preserve">Change_M_PLN</t>
  </si>
  <si>
    <t xml:space="preserve">Excess_vs_PPI_M_PLN</t>
  </si>
  <si>
    <t xml:space="preserve">Excess vs PPI = spend 2025 − spend 2024 × (1 + PPI). A positive value = growth faster than inflation.</t>
  </si>
  <si>
    <t xml:space="preserve">Change_pct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</si>
  <si>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</si>
  <si>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</si>
  <si>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</si>
  <si>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</si>
  <si>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</si>
  <si>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</si>
  <si>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</si>
  <si>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</si>
  <si>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</si>
  <si>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</si>
  <si>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</si>
  <si>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</si>
  <si>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Outlier_count</t>
  </si>
  <si>
    <t xml:space="preserve">Value_M_PLN</t>
  </si>
  <si>
    <t xml:space="preserve">Threshold_μ+2σ_PLN_per_unit</t>
  </si>
  <si>
    <t xml:space="preserve">Outlier = a transaction with a unit price above the mean + 2 standard deviations in its category.</t>
  </si>
  <si>
    <t xml:space="preserve">Other figures from the source database</t>
  </si>
  <si>
    <t xml:space="preserve">Transactions in the database</t>
  </si>
  <si>
    <t xml:space="preserve">Split orders – number of cases</t>
  </si>
  <si>
    <t xml:space="preserve">Split orders – value M PLN</t>
  </si>
  <si>
    <t xml:space="preserve">Split order = more than 1 transaction on the same day, by the same buyer, with the same supplier, in the same category.</t>
  </si>
  <si>
    <t xml:space="preserve">Metric</t>
  </si>
  <si>
    <t xml:space="preserve">Txn – price</t>
  </si>
  <si>
    <t xml:space="preserve">Txn – quantity</t>
  </si>
  <si>
    <t xml:space="preserve">M PLN – price</t>
  </si>
  <si>
    <t xml:space="preserve">M PLN – quantity</t>
  </si>
  <si>
    <t xml:space="preserve">Total spend (PLN)</t>
  </si>
  <si>
    <t xml:space="preserve">Number of transactions</t>
  </si>
  <si>
    <t xml:space="preserve">Number of suppliers</t>
  </si>
  <si>
    <t xml:space="preserve">Number of buyers</t>
  </si>
  <si>
    <t xml:space="preserve">Number of anomalies</t>
  </si>
  <si>
    <t xml:space="preserve">Anomaly value (PLN)</t>
  </si>
  <si>
    <t xml:space="preserve">Anomaly share of spend</t>
  </si>
  <si>
    <t xml:space="preserve">Largest transaction (PLN)</t>
  </si>
  <si>
    <t xml:space="preserve">  – row</t>
  </si>
  <si>
    <t xml:space="preserve">Most frequent category / highest value</t>
  </si>
  <si>
    <t xml:space="preserve">Most frequent</t>
  </si>
  <si>
    <t xml:space="preserve">Highest value</t>
  </si>
  <si>
    <t xml:space="preserve">  – ID</t>
  </si>
  <si>
    <t xml:space="preserve">  – supplier</t>
  </si>
  <si>
    <t xml:space="preserve">  – category</t>
  </si>
  <si>
    <t xml:space="preserve">Txn count – price</t>
  </si>
  <si>
    <t xml:space="preserve">  – date (text)</t>
  </si>
  <si>
    <t xml:space="preserve">Txn count – quantity</t>
  </si>
  <si>
    <t xml:space="preserve">Largest category share</t>
  </si>
  <si>
    <t xml:space="preserve">Highest y/y growth</t>
  </si>
  <si>
    <t xml:space="preserve">  – excess vs PPI (M PLN)</t>
  </si>
  <si>
    <t xml:space="preserve">Pareto – suppliers needed for 80% of spend</t>
  </si>
  <si>
    <t xml:space="preserve">TOP 5 suppliers share</t>
  </si>
  <si>
    <t xml:space="preserve">Suppliers with at least 1 anomaly</t>
  </si>
  <si>
    <t xml:space="preserve">Max. anomalies at one supplier</t>
  </si>
  <si>
    <t xml:space="preserve">  – anomaly value (PLN)</t>
  </si>
  <si>
    <t xml:space="preserve">Price outliers – count</t>
  </si>
  <si>
    <t xml:space="preserve">Price outliers – value (M PLN)</t>
  </si>
  <si>
    <t xml:space="preserve">  – category with the highest value</t>
  </si>
  <si>
    <t xml:space="preserve">  – count</t>
  </si>
  <si>
    <t xml:space="preserve">  – value (M PLN)</t>
  </si>
  <si>
    <t xml:space="preserve">  – threshold PLN/unit</t>
  </si>
  <si>
    <t xml:space="preserve">Split orders – count</t>
  </si>
  <si>
    <t xml:space="preserve">Split orders – value (M PLN)</t>
  </si>
  <si>
    <t xml:space="preserve">Buyer no. 1 by anomaly value</t>
  </si>
  <si>
    <t xml:space="preserve">Buyer no. 2 by anomaly value</t>
  </si>
  <si>
    <t xml:space="preserve">  – combined value (PLN)</t>
  </si>
  <si>
    <t xml:space="preserve">  – anomalies, no. 1</t>
  </si>
  <si>
    <t xml:space="preserve">  – anomalies, no. 2</t>
  </si>
  <si>
    <t xml:space="preserve">CHECK: sum of categories (M PLN)</t>
  </si>
  <si>
    <t xml:space="preserve">CHECK: sum of months (M PLN)</t>
  </si>
  <si>
    <t xml:space="preserve">CHECK: sum of suppliers (M PLN)</t>
  </si>
  <si>
    <t xml:space="preserve">CHECK: status (1 M PLN tolerance – rounding)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</si>
</sst>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&quot; M PLN&quot;"/>
    <numFmt numFmtId="166" formatCode="0.0%"/>
    <numFmt numFmtId="167" formatCode="\+0.0%;\-0.0%"/>
    <numFmt numFmtId="168" formatCode="#,##0.00&quot; M PLN&quot;"/>
    <numFmt numFmtId="169" formatCode="#,##0.0"/>
    <numFmt numFmtId="170" formatCode="\+0.0%;\-0.0%;0.0%"/>
    <numFmt numFmtId="171" formatCode="\+#,##0.0;\-#,##0.0;0.0"/>
    <numFmt numFmtId="172" formatCode="#,##0"/>
    <numFmt numFmtId="173" formatCode="0.00%"/>
    <numFmt numFmtId="174" formatCode="#,##0.00"/>
    <numFmt numFmtId="175" formatCode="yyyy\-mm\-dd"/>
    <numFmt numFmtId="176" formatCode="#,##0.0;\-#,##0.0;\—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0B6E69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8"/>
      <color rgb="FFC55A11"/>
      <name val="Arial"/>
      <family val="0"/>
      <charset val="1"/>
    </font>
    <font>
      <b val="true"/>
      <sz val="8"/>
      <color rgb="FF9C2A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0B6E6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9C2A2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3F0"/>
        <bgColor rgb="FFD5EEEC"/>
      </patternFill>
    </fill>
    <fill>
      <patternFill patternType="solid">
        <fgColor rgb="FFD5EEEC"/>
        <bgColor rgb="FFDCE3F0"/>
      </patternFill>
    </fill>
    <fill>
      <patternFill patternType="solid">
        <fgColor rgb="FFFBE5D6"/>
        <bgColor rgb="FFF4DADA"/>
      </patternFill>
    </fill>
    <fill>
      <patternFill patternType="solid">
        <fgColor rgb="FFF4DADA"/>
        <bgColor rgb="FFFBE5D6"/>
      </patternFill>
    </fill>
    <fill>
      <patternFill patternType="solid">
        <fgColor rgb="FFC55A11"/>
        <bgColor rgb="FF9C2A2A"/>
      </patternFill>
    </fill>
    <fill>
      <patternFill patternType="solid">
        <fgColor rgb="FF0B6E69"/>
        <bgColor rgb="FF00804A"/>
      </patternFill>
    </fill>
    <fill>
      <patternFill patternType="solid">
        <fgColor rgb="FF9C2A2A"/>
        <bgColor rgb="FF993366"/>
      </patternFill>
    </fill>
    <fill>
      <patternFill patternType="solid">
        <fgColor rgb="FFFFF2CC"/>
        <bgColor rgb="FFFBE5D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>
        <color rgb="FF1F3864"/>
      </left>
      <right style="thin">
        <color rgb="FFFFFFFF"/>
      </right>
      <top/>
      <bottom/>
      <diagonal/>
    </border>
    <border diagonalUp="false" diagonalDown="false">
      <left style="thick">
        <color rgb="FF0B6E69"/>
      </left>
      <right style="thin">
        <color rgb="FFFFFFFF"/>
      </right>
      <top/>
      <bottom/>
      <diagonal/>
    </border>
    <border diagonalUp="false" diagonalDown="false">
      <left style="thick">
        <color rgb="FFC55A11"/>
      </left>
      <right style="thin">
        <color rgb="FFFFFFFF"/>
      </right>
      <top/>
      <bottom/>
      <diagonal/>
    </border>
    <border diagonalUp="false" diagonalDown="false">
      <left style="thick">
        <color rgb="FF9C2A2A"/>
      </left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808080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6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9" fillId="6" borderId="4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20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b val="1"/>
        <color rgb="FFC00000"/>
      </font>
    </dxf>
    <dxf>
      <font>
        <b val="1"/>
        <color rgb="FF00804A"/>
      </font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</font>
      <fill>
        <patternFill>
          <bgColor rgb="FFFFC000"/>
        </patternFill>
      </fill>
    </dxf>
    <dxf>
      <font>
        <b val="1"/>
      </font>
      <fill>
        <patternFill>
          <bgColor rgb="FFA9D08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B6E69"/>
      <rgbColor rgb="FFA9D08E"/>
      <rgbColor rgb="FF808080"/>
      <rgbColor rgb="FF8EA9DB"/>
      <rgbColor rgb="FF993366"/>
      <rgbColor rgb="FFFFF2CC"/>
      <rgbColor rgb="FFD5EE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4A"/>
      <rgbColor rgb="FF0000FF"/>
      <rgbColor rgb="FF00CCFF"/>
      <rgbColor rgb="FFDCE3F0"/>
      <rgbColor rgb="FFC6EFCE"/>
      <rgbColor rgb="FFFFE699"/>
      <rgbColor rgb="FFF4DADA"/>
      <rgbColor rgb="FFF4B183"/>
      <rgbColor rgb="FFFBE5D6"/>
      <rgbColor rgb="FFF8CBAD"/>
      <rgbColor rgb="FF3366FF"/>
      <rgbColor rgb="FF33CCCC"/>
      <rgbColor rgb="FF99CC00"/>
      <rgbColor rgb="FFFFC0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C2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M PLN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Dashboard!$B$17:$B$22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Dashboard!$C$17:$C$22</c:f>
              <c:numCache>
                <c:formatCode>#,##0.0</c:formatCode>
                <c:ptCount val="6"/>
                <c:pt idx="0">
                  <c:v>3999.58</c:v>
                </c:pt>
                <c:pt idx="1">
                  <c:v>1218.86</c:v>
                </c:pt>
                <c:pt idx="2">
                  <c:v>631.89</c:v>
                </c:pt>
                <c:pt idx="3">
                  <c:v>240.39</c:v>
                </c:pt>
                <c:pt idx="4">
                  <c:v>164.89</c:v>
                </c:pt>
                <c:pt idx="5">
                  <c:v>39.89</c:v>
                </c:pt>
              </c:numCache>
            </c:numRef>
          </c:val>
        </c:ser>
        <c:gapWidth val="60"/>
        <c:overlap val="0"/>
        <c:axId val="29698472"/>
        <c:axId val="94295784"/>
      </c:barChart>
      <c:catAx>
        <c:axId val="296984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95784"/>
        <c:crosses val="autoZero"/>
        <c:auto val="1"/>
        <c:lblAlgn val="ctr"/>
        <c:lblOffset val="100"/>
        <c:noMultiLvlLbl val="0"/>
      </c:catAx>
      <c:valAx>
        <c:axId val="94295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98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8ea9db"/>
            </a:solidFill>
            <a:ln w="47520">
              <a:solidFill>
                <a:srgbClr val="8ea9d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Dashboard!$C$27:$C$38</c:f>
              <c:numCache>
                <c:formatCode>#,##0.0</c:formatCode>
                <c:ptCount val="12"/>
                <c:pt idx="0">
                  <c:v>256.8</c:v>
                </c:pt>
                <c:pt idx="1">
                  <c:v>239.6</c:v>
                </c:pt>
                <c:pt idx="2">
                  <c:v>262.4</c:v>
                </c:pt>
                <c:pt idx="3">
                  <c:v>244.1</c:v>
                </c:pt>
                <c:pt idx="4">
                  <c:v>260</c:v>
                </c:pt>
                <c:pt idx="5">
                  <c:v>255.6</c:v>
                </c:pt>
                <c:pt idx="6">
                  <c:v>260.4</c:v>
                </c:pt>
                <c:pt idx="7">
                  <c:v>290.8</c:v>
                </c:pt>
                <c:pt idx="8">
                  <c:v>302.9</c:v>
                </c:pt>
                <c:pt idx="9">
                  <c:v>264.2</c:v>
                </c:pt>
                <c:pt idx="10">
                  <c:v>255.9</c:v>
                </c:pt>
                <c:pt idx="11">
                  <c:v>257.2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Dashboard!D26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3864"/>
            </a:solidFill>
            <a:ln w="4752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Dashboard!$D$27:$D$38</c:f>
              <c:numCache>
                <c:formatCode>#,##0.0</c:formatCode>
                <c:ptCount val="12"/>
                <c:pt idx="0">
                  <c:v>261.1</c:v>
                </c:pt>
                <c:pt idx="1">
                  <c:v>236.1</c:v>
                </c:pt>
                <c:pt idx="2">
                  <c:v>282</c:v>
                </c:pt>
                <c:pt idx="3">
                  <c:v>255.5</c:v>
                </c:pt>
                <c:pt idx="4">
                  <c:v>271.3</c:v>
                </c:pt>
                <c:pt idx="5">
                  <c:v>254.9</c:v>
                </c:pt>
                <c:pt idx="6">
                  <c:v>262.8</c:v>
                </c:pt>
                <c:pt idx="7">
                  <c:v>272.5</c:v>
                </c:pt>
                <c:pt idx="8">
                  <c:v>261.1</c:v>
                </c:pt>
                <c:pt idx="9">
                  <c:v>270.2</c:v>
                </c:pt>
                <c:pt idx="10">
                  <c:v>261.9</c:v>
                </c:pt>
                <c:pt idx="11">
                  <c:v>255.9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13385"/>
        <c:axId val="64341025"/>
      </c:lineChart>
      <c:catAx>
        <c:axId val="79313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41025"/>
        <c:crosses val="autoZero"/>
        <c:auto val="1"/>
        <c:lblAlgn val="ctr"/>
        <c:lblOffset val="100"/>
        <c:noMultiLvlLbl val="0"/>
      </c:catAx>
      <c:valAx>
        <c:axId val="64341025"/>
        <c:scaling>
          <c:orientation val="minMax"/>
          <c:min val="2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3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Calculations!G1</c:f>
              <c:strCache>
                <c:ptCount val="1"/>
                <c:pt idx="0">
                  <c:v>M PLN – price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Calculations!$D$2:$D$7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Calculations!$G$2:$G$7</c:f>
              <c:numCache>
                <c:formatCode>#,##0.00</c:formatCode>
                <c:ptCount val="6"/>
                <c:pt idx="0">
                  <c:v>14.65004823</c:v>
                </c:pt>
                <c:pt idx="1">
                  <c:v>7.56358706</c:v>
                </c:pt>
                <c:pt idx="2">
                  <c:v>0.45500037</c:v>
                </c:pt>
                <c:pt idx="3">
                  <c:v>3.02658715</c:v>
                </c:pt>
                <c:pt idx="4">
                  <c:v>0.82894887</c:v>
                </c:pt>
                <c:pt idx="5">
                  <c:v>0.39413992</c:v>
                </c:pt>
              </c:numCache>
            </c:numRef>
          </c:val>
        </c:ser>
        <c:ser>
          <c:idx val="1"/>
          <c:order val="1"/>
          <c:tx>
            <c:strRef>
              <c:f>Calculations!H1</c:f>
              <c:strCache>
                <c:ptCount val="1"/>
                <c:pt idx="0">
                  <c:v>M PLN – quantity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Calculations!$D$2:$D$7</c:f>
              <c:strCache>
                <c:ptCount val="6"/>
                <c:pt idx="0">
                  <c:v>IT Hardware</c:v>
                </c:pt>
                <c:pt idx="1">
                  <c:v>Marketing Services</c:v>
                </c:pt>
                <c:pt idx="2">
                  <c:v>Media &amp; Energy</c:v>
                </c:pt>
                <c:pt idx="3">
                  <c:v>Logistics</c:v>
                </c:pt>
                <c:pt idx="4">
                  <c:v>Raw Materials</c:v>
                </c:pt>
                <c:pt idx="5">
                  <c:v>Office Supplies</c:v>
                </c:pt>
              </c:strCache>
            </c:strRef>
          </c:cat>
          <c:val>
            <c:numRef>
              <c:f>Calculations!$H$2:$H$7</c:f>
              <c:numCache>
                <c:formatCode>#,##0.00</c:formatCode>
                <c:ptCount val="6"/>
                <c:pt idx="0">
                  <c:v>95.911849</c:v>
                </c:pt>
                <c:pt idx="1">
                  <c:v>44.363704</c:v>
                </c:pt>
                <c:pt idx="2">
                  <c:v>10.623082</c:v>
                </c:pt>
                <c:pt idx="3">
                  <c:v>7.450452</c:v>
                </c:pt>
                <c:pt idx="4">
                  <c:v>5.804863</c:v>
                </c:pt>
                <c:pt idx="5">
                  <c:v>1.333944</c:v>
                </c:pt>
              </c:numCache>
            </c:numRef>
          </c:val>
        </c:ser>
        <c:gapWidth val="60"/>
        <c:overlap val="100"/>
        <c:axId val="93864280"/>
        <c:axId val="53911252"/>
      </c:barChart>
      <c:catAx>
        <c:axId val="9386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11252"/>
        <c:crosses val="autoZero"/>
        <c:auto val="1"/>
        <c:lblAlgn val="ctr"/>
        <c:lblOffset val="100"/>
        <c:noMultiLvlLbl val="0"/>
      </c:catAx>
      <c:valAx>
        <c:axId val="53911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642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Dashboard!O16</c:f>
              <c:strCache>
                <c:ptCount val="1"/>
                <c:pt idx="0">
                  <c:v>M PLN</c:v>
                </c:pt>
              </c:strCache>
            </c:strRef>
          </c:tx>
          <c:spPr>
            <a:solidFill>
              <a:srgbClr val="0b6e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Dashboard!$N$17:$N$26</c:f>
              <c:strCache>
                <c:ptCount val="10"/>
                <c:pt idx="0">
                  <c:v>SUP-18</c:v>
                </c:pt>
                <c:pt idx="1">
                  <c:v>SUP-46</c:v>
                </c:pt>
                <c:pt idx="2">
                  <c:v>SUP-12</c:v>
                </c:pt>
                <c:pt idx="3">
                  <c:v>SUP-14</c:v>
                </c:pt>
                <c:pt idx="4">
                  <c:v>SUP-30</c:v>
                </c:pt>
                <c:pt idx="5">
                  <c:v>SUP-27</c:v>
                </c:pt>
                <c:pt idx="6">
                  <c:v>SUP-47</c:v>
                </c:pt>
                <c:pt idx="7">
                  <c:v>SUP-44</c:v>
                </c:pt>
                <c:pt idx="8">
                  <c:v>SUP-05</c:v>
                </c:pt>
                <c:pt idx="9">
                  <c:v>SUP-39</c:v>
                </c:pt>
              </c:strCache>
            </c:strRef>
          </c:cat>
          <c:val>
            <c:numRef>
              <c:f>Dashboard!$O$17:$O$26</c:f>
              <c:numCache>
                <c:formatCode>#,##0.0</c:formatCode>
                <c:ptCount val="10"/>
                <c:pt idx="0">
                  <c:v>179.753375</c:v>
                </c:pt>
                <c:pt idx="1">
                  <c:v>159.930853</c:v>
                </c:pt>
                <c:pt idx="2">
                  <c:v>148.038153</c:v>
                </c:pt>
                <c:pt idx="3">
                  <c:v>147.786075</c:v>
                </c:pt>
                <c:pt idx="4">
                  <c:v>143.315737</c:v>
                </c:pt>
                <c:pt idx="5">
                  <c:v>135.626018</c:v>
                </c:pt>
                <c:pt idx="6">
                  <c:v>133.400177</c:v>
                </c:pt>
                <c:pt idx="7">
                  <c:v>131.412367</c:v>
                </c:pt>
                <c:pt idx="8">
                  <c:v>131.264849</c:v>
                </c:pt>
                <c:pt idx="9">
                  <c:v>130.938159</c:v>
                </c:pt>
              </c:numCache>
            </c:numRef>
          </c:val>
        </c:ser>
        <c:gapWidth val="50"/>
        <c:overlap val="0"/>
        <c:axId val="1325923"/>
        <c:axId val="34585030"/>
      </c:barChart>
      <c:catAx>
        <c:axId val="13259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85030"/>
        <c:crosses val="autoZero"/>
        <c:auto val="1"/>
        <c:lblAlgn val="ctr"/>
        <c:lblOffset val="100"/>
        <c:noMultiLvlLbl val="0"/>
      </c:catAx>
      <c:valAx>
        <c:axId val="34585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5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56</xdr:row>
      <xdr:rowOff>134640</xdr:rowOff>
    </xdr:from>
    <xdr:to>
      <xdr:col>6</xdr:col>
      <xdr:colOff>129600</xdr:colOff>
      <xdr:row>70</xdr:row>
      <xdr:rowOff>167400</xdr:rowOff>
    </xdr:to>
    <xdr:graphicFrame>
      <xdr:nvGraphicFramePr>
        <xdr:cNvPr id="0" name="Chart 1"/>
        <xdr:cNvGraphicFramePr/>
      </xdr:nvGraphicFramePr>
      <xdr:xfrm>
        <a:off x="141120" y="1120140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40</xdr:row>
      <xdr:rowOff>134640</xdr:rowOff>
    </xdr:from>
    <xdr:to>
      <xdr:col>6</xdr:col>
      <xdr:colOff>129600</xdr:colOff>
      <xdr:row>54</xdr:row>
      <xdr:rowOff>167040</xdr:rowOff>
    </xdr:to>
    <xdr:graphicFrame>
      <xdr:nvGraphicFramePr>
        <xdr:cNvPr id="1" name="Chart 2"/>
        <xdr:cNvGraphicFramePr/>
      </xdr:nvGraphicFramePr>
      <xdr:xfrm>
        <a:off x="141120" y="815328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56</xdr:row>
      <xdr:rowOff>134640</xdr:rowOff>
    </xdr:from>
    <xdr:to>
      <xdr:col>11</xdr:col>
      <xdr:colOff>1194480</xdr:colOff>
      <xdr:row>70</xdr:row>
      <xdr:rowOff>167400</xdr:rowOff>
    </xdr:to>
    <xdr:graphicFrame>
      <xdr:nvGraphicFramePr>
        <xdr:cNvPr id="2" name="Chart 3"/>
        <xdr:cNvGraphicFramePr/>
      </xdr:nvGraphicFramePr>
      <xdr:xfrm>
        <a:off x="4651920" y="11201400"/>
        <a:ext cx="48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56</xdr:row>
      <xdr:rowOff>134640</xdr:rowOff>
    </xdr:from>
    <xdr:to>
      <xdr:col>17</xdr:col>
      <xdr:colOff>763920</xdr:colOff>
      <xdr:row>70</xdr:row>
      <xdr:rowOff>167400</xdr:rowOff>
    </xdr:to>
    <xdr:graphicFrame>
      <xdr:nvGraphicFramePr>
        <xdr:cNvPr id="3" name="Chart 4"/>
        <xdr:cNvGraphicFramePr/>
      </xdr:nvGraphicFramePr>
      <xdr:xfrm>
        <a:off x="9726840" y="1120140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nomalies" displayName="tAnomalies" ref="A1:I81" headerRowCount="1" totalsRowCount="0" totalsRowShown="0">
  <autoFilter ref="A1:I81"/>
  <tableColumns count="9">
    <tableColumn id="1" name="Order_ID"/>
    <tableColumn id="2" name="Date"/>
    <tableColumn id="3" name="Category"/>
    <tableColumn id="4" name="Supplier"/>
    <tableColumn id="5" name="Quantity"/>
    <tableColumn id="6" name="Unit_price_PLN"/>
    <tableColumn id="7" name="Buyer"/>
    <tableColumn id="8" name="Anomaly_type"/>
    <tableColumn id="9" name="Value_PLN"/>
  </tableColumns>
</table>
</file>

<file path=xl/tables/table2.xml><?xml version="1.0" encoding="utf-8"?>
<table xmlns="http://schemas.openxmlformats.org/spreadsheetml/2006/main" id="2" name="tBuyers" displayName="tBuyers" ref="A1:H11" headerRowCount="1" totalsRowCount="0" totalsRowShown="0">
  <autoFilter ref="A1:H11"/>
  <tableColumns count="8">
    <tableColumn id="1" name="Buyer"/>
    <tableColumn id="2" name="Spend_M_PLN"/>
    <tableColumn id="3" name="Txn_count"/>
    <tableColumn id="4" name="Avg_txn_value_PLN"/>
    <tableColumn id="5" name="Anomaly_count"/>
    <tableColumn id="6" name="Anomaly_value_PLN"/>
    <tableColumn id="7" name="Share_of_anomaly_value"/>
    <tableColumn id="8" name="Level"/>
  </tableColumns>
</table>
</file>

<file path=xl/tables/table3.xml><?xml version="1.0" encoding="utf-8"?>
<table xmlns="http://schemas.openxmlformats.org/spreadsheetml/2006/main" id="3" name="tCategories" displayName="tCategories" ref="A1:H7" headerRowCount="1" totalsRowCount="0" totalsRowShown="0">
  <autoFilter ref="A1:H7"/>
  <tableColumns count="8">
    <tableColumn id="1" name="Category"/>
    <tableColumn id="2" name="Spend_2024_M_PLN"/>
    <tableColumn id="3" name="Spend_2025_M_PLN"/>
    <tableColumn id="4" name="Spend_total_M_PLN"/>
    <tableColumn id="5" name="Share"/>
    <tableColumn id="6" name="Change_yy"/>
    <tableColumn id="7" name="Change_M_PLN"/>
    <tableColumn id="8" name="Excess_vs_PPI_M_PLN"/>
  </tableColumns>
</table>
</file>

<file path=xl/tables/table4.xml><?xml version="1.0" encoding="utf-8"?>
<table xmlns="http://schemas.openxmlformats.org/spreadsheetml/2006/main" id="4" name="tMonths" displayName="tMonths" ref="A1:E13" headerRowCount="1" totalsRowCount="0" totalsRowShown="0">
  <autoFilter ref="A1:E13"/>
  <tableColumns count="5">
    <tableColumn id="1" name="Month"/>
    <tableColumn id="2" name="Spend_2024_M_PLN"/>
    <tableColumn id="3" name="Spend_2025_M_PLN"/>
    <tableColumn id="4" name="Change_M_PLN"/>
    <tableColumn id="5" name="Change_pct"/>
  </tableColumns>
</table>
</file>

<file path=xl/tables/table5.xml><?xml version="1.0" encoding="utf-8"?>
<table xmlns="http://schemas.openxmlformats.org/spreadsheetml/2006/main" id="5" name="tOutliers" displayName="tOutliers" ref="A1:E7" headerRowCount="1" totalsRowCount="0" totalsRowShown="0">
  <autoFilter ref="A1:E7"/>
  <tableColumns count="5">
    <tableColumn id="1" name="Category"/>
    <tableColumn id="2" name="Outlier_count"/>
    <tableColumn id="3" name="Value_M_PLN"/>
    <tableColumn id="4" name="Threshold_μ+2σ_PLN_per_unit"/>
    <tableColumn id="5" name="Risk"/>
  </tableColumns>
</table>
</file>

<file path=xl/tables/table6.xml><?xml version="1.0" encoding="utf-8"?>
<table xmlns="http://schemas.openxmlformats.org/spreadsheetml/2006/main" id="6" name="tSuppliers" displayName="tSuppliers" ref="A1:P51" headerRowCount="1" totalsRowCount="0" totalsRowShown="0">
  <autoFilter ref="A1:P51"/>
  <tableColumns count="16">
    <tableColumn id="1" name="Supplier"/>
    <tableColumn id="2" name="Spend_PLN"/>
    <tableColumn id="3" name="Txn_count"/>
    <tableColumn id="4" name="Avg_txn_value"/>
    <tableColumn id="5" name="Spend_share"/>
    <tableColumn id="6" name="Anomaly_count"/>
    <tableColumn id="7" name="Anomaly_value_PLN"/>
    <tableColumn id="8" name="Risk_rating"/>
    <tableColumn id="9" name="Cumulative_share"/>
    <tableColumn id="10" name="IT Hardware"/>
    <tableColumn id="11" name="Marketing Services"/>
    <tableColumn id="12" name="Media &amp; Energy"/>
    <tableColumn id="13" name="Logistics"/>
    <tableColumn id="14" name="Raw Materials"/>
    <tableColumn id="15" name="Office Supplies"/>
    <tableColumn id="16" name="Top_anomaly_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R9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2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2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B4" s="2" t="str">
        <f aca="false">"Database: "&amp;FIXED(Calculations!$B$3,0)&amp;" transactions  │  "&amp;FIXED(Calculations!$B$2/1000000,1)&amp;" M PLN spend  │  "&amp;Calculations!$B$4&amp;" suppliers, "&amp;Calculations!$B$5&amp;" buyers  │  Anonymised data  │  Author: P. Liberacki"</f>
        <v>Database: 100,000 transactions  │  6,295.6 M PLN spend  │  50 suppliers, 10 buyers  │  Anonymised data  │  Author: P. Liberacki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6" customFormat="false" ht="15" hidden="false" customHeight="false" outlineLevel="0" collapsed="false">
      <c r="B6" s="3" t="s">
        <v>1</v>
      </c>
      <c r="C6" s="3"/>
      <c r="D6" s="3"/>
      <c r="E6" s="3" t="s">
        <v>2</v>
      </c>
      <c r="F6" s="3"/>
      <c r="G6" s="3"/>
      <c r="H6" s="3" t="s">
        <v>3</v>
      </c>
      <c r="I6" s="3"/>
      <c r="J6" s="3"/>
      <c r="K6" s="4" t="s">
        <v>4</v>
      </c>
      <c r="L6" s="4"/>
      <c r="M6" s="4"/>
      <c r="N6" s="4" t="s">
        <v>5</v>
      </c>
      <c r="O6" s="4"/>
      <c r="P6" s="4"/>
      <c r="Q6" s="4"/>
      <c r="R6" s="4"/>
    </row>
    <row r="7" customFormat="false" ht="24" hidden="false" customHeight="true" outlineLevel="0" collapsed="false">
      <c r="B7" s="5" t="n">
        <f aca="false">Calculations!$B$2/1000000</f>
        <v>6295.589773</v>
      </c>
      <c r="C7" s="5"/>
      <c r="D7" s="5"/>
      <c r="E7" s="6" t="n">
        <f aca="false">Calculations!$B$15</f>
        <v>0.635307759510762</v>
      </c>
      <c r="F7" s="6"/>
      <c r="G7" s="6"/>
      <c r="H7" s="7" t="n">
        <f aca="false">Calculations!$B$17</f>
        <v>0.0691259103332369</v>
      </c>
      <c r="I7" s="7"/>
      <c r="J7" s="7"/>
      <c r="K7" s="8" t="str">
        <f aca="false">Calculations!$B$20&amp;" / "&amp;Calculations!$B$4</f>
        <v>40 / 50</v>
      </c>
      <c r="L7" s="8"/>
      <c r="M7" s="8"/>
      <c r="N7" s="9" t="n">
        <f aca="false">Calculations!$B$9/1000000</f>
        <v>38.213365</v>
      </c>
      <c r="O7" s="9"/>
      <c r="P7" s="9"/>
      <c r="Q7" s="9"/>
      <c r="R7" s="9"/>
    </row>
    <row r="8" customFormat="false" ht="15" hidden="false" customHeight="false" outlineLevel="0" collapsed="false">
      <c r="B8" s="10" t="str">
        <f aca="false">"2024–2025  │  "&amp;FIXED(Calculations!$B$3,0)&amp;" txn"</f>
        <v>2024–2025  │  100,000 txn</v>
      </c>
      <c r="C8" s="10"/>
      <c r="D8" s="10"/>
      <c r="E8" s="10" t="str">
        <f aca="false">Calculations!$B$16&amp;"  │  limit "&amp;FIXED(Parameters!$B$10*100,0)&amp;"%"</f>
        <v>IT Hardware  │  limit 50%</v>
      </c>
      <c r="F8" s="10"/>
      <c r="G8" s="10"/>
      <c r="H8" s="10" t="str">
        <f aca="false">Calculations!$B$18&amp;"  │  PPI ~"&amp;FIXED(Parameters!$B$2*100,1)&amp;"%"</f>
        <v>Marketing Services  │  PPI ~3.5%</v>
      </c>
      <c r="I8" s="10"/>
      <c r="J8" s="10"/>
      <c r="K8" s="11" t="str">
        <f aca="false">"suppliers  │  TOP 5 = "&amp;FIXED(Calculations!$B$21*100,1)&amp;"%"</f>
        <v>suppliers  │  TOP 5 = 12.4%</v>
      </c>
      <c r="L8" s="11"/>
      <c r="M8" s="11"/>
      <c r="N8" s="11" t="str">
        <f aca="false">Calculations!$B$12&amp;"  │  "&amp;Calculations!$B$13</f>
        <v>SUP-46  │  IT Hardware</v>
      </c>
      <c r="O8" s="11"/>
      <c r="P8" s="11"/>
      <c r="Q8" s="11"/>
      <c r="R8" s="11"/>
    </row>
    <row r="9" customFormat="false" ht="6" hidden="false" customHeight="true" outlineLevel="0" collapsed="false"/>
    <row r="10" customFormat="false" ht="15" hidden="false" customHeight="false" outlineLevel="0" collapsed="false">
      <c r="B10" s="12" t="s">
        <v>6</v>
      </c>
      <c r="C10" s="12"/>
      <c r="D10" s="12"/>
      <c r="E10" s="12" t="s">
        <v>7</v>
      </c>
      <c r="F10" s="12"/>
      <c r="G10" s="12"/>
      <c r="H10" s="12" t="s">
        <v>8</v>
      </c>
      <c r="I10" s="12"/>
      <c r="J10" s="12"/>
      <c r="K10" s="13" t="s">
        <v>9</v>
      </c>
      <c r="L10" s="13"/>
      <c r="M10" s="13"/>
      <c r="N10" s="13" t="s">
        <v>10</v>
      </c>
      <c r="O10" s="13"/>
      <c r="P10" s="13"/>
      <c r="Q10" s="13"/>
      <c r="R10" s="13"/>
    </row>
    <row r="11" customFormat="false" ht="24" hidden="false" customHeight="true" outlineLevel="0" collapsed="false">
      <c r="B11" s="14" t="n">
        <f aca="false">Calculations!$B$7/1000000</f>
        <v>192.4062056</v>
      </c>
      <c r="C11" s="14"/>
      <c r="D11" s="14"/>
      <c r="E11" s="15" t="str">
        <f aca="false">Calculations!$E$13&amp;" txn"</f>
        <v>50 txn</v>
      </c>
      <c r="F11" s="15"/>
      <c r="G11" s="15"/>
      <c r="H11" s="15" t="str">
        <f aca="false">Calculations!$E$14&amp;" txn"</f>
        <v>30 txn</v>
      </c>
      <c r="I11" s="15"/>
      <c r="J11" s="15"/>
      <c r="K11" s="16" t="str">
        <f aca="false">Calculations!$B$26&amp;" txn"</f>
        <v>304 txn</v>
      </c>
      <c r="L11" s="16"/>
      <c r="M11" s="16"/>
      <c r="N11" s="16" t="str">
        <f aca="false">FIXED(Calculations!$B$32,0)&amp;" cases"</f>
        <v>2,177 cases</v>
      </c>
      <c r="O11" s="16"/>
      <c r="P11" s="16"/>
      <c r="Q11" s="16"/>
      <c r="R11" s="16"/>
    </row>
    <row r="12" customFormat="false" ht="15" hidden="false" customHeight="false" outlineLevel="0" collapsed="false">
      <c r="B12" s="17" t="str">
        <f aca="false">FIXED(Calculations!$B$6,0)&amp;" txn  │  "&amp;FIXED(Calculations!$B$8*100,2)&amp;"% spend"</f>
        <v>80 txn  │  3.06% spend</v>
      </c>
      <c r="C12" s="17"/>
      <c r="D12" s="17"/>
      <c r="E12" s="17" t="str">
        <f aca="false">FIXED(SUM(Calculations!$G$2:$G$7),1)&amp;" M PLN"</f>
        <v>26.9 M PLN</v>
      </c>
      <c r="F12" s="17"/>
      <c r="G12" s="17"/>
      <c r="H12" s="17" t="str">
        <f aca="false">FIXED(SUM(Calculations!$H$2:$H$7),1)&amp;" M PLN"</f>
        <v>165.5 M PLN</v>
      </c>
      <c r="I12" s="17"/>
      <c r="J12" s="17"/>
      <c r="K12" s="18" t="str">
        <f aca="false">FIXED(Calculations!$B$27,2)&amp;" M PLN to review"</f>
        <v>63.89 M PLN to review</v>
      </c>
      <c r="L12" s="18"/>
      <c r="M12" s="18"/>
      <c r="N12" s="18" t="str">
        <f aca="false">FIXED(Calculations!$B$33,1)&amp;" M PLN"</f>
        <v>284.9 M PLN</v>
      </c>
      <c r="O12" s="18"/>
      <c r="P12" s="18"/>
      <c r="Q12" s="18"/>
      <c r="R12" s="18"/>
    </row>
    <row r="14" customFormat="false" ht="19.5" hidden="false" customHeight="true" outlineLevel="0" collapsed="false">
      <c r="B14" s="19" t="s">
        <v>11</v>
      </c>
      <c r="C14" s="19"/>
      <c r="D14" s="19"/>
      <c r="E14" s="19"/>
      <c r="F14" s="19"/>
      <c r="H14" s="20" t="s">
        <v>12</v>
      </c>
      <c r="I14" s="20"/>
      <c r="J14" s="20"/>
      <c r="K14" s="20"/>
      <c r="L14" s="20"/>
      <c r="N14" s="21" t="s">
        <v>13</v>
      </c>
      <c r="O14" s="21"/>
      <c r="P14" s="21"/>
      <c r="Q14" s="21"/>
      <c r="R14" s="21"/>
    </row>
    <row r="15" customFormat="false" ht="15" hidden="false" customHeight="false" outlineLevel="0" collapsed="false">
      <c r="B15" s="22" t="s">
        <v>14</v>
      </c>
      <c r="C15" s="22"/>
      <c r="D15" s="22"/>
      <c r="E15" s="22"/>
      <c r="F15" s="22"/>
      <c r="H15" s="23" t="s">
        <v>15</v>
      </c>
      <c r="I15" s="23"/>
      <c r="J15" s="23"/>
      <c r="K15" s="23"/>
      <c r="L15" s="23"/>
      <c r="N15" s="24" t="s">
        <v>16</v>
      </c>
      <c r="O15" s="24"/>
      <c r="P15" s="24"/>
      <c r="Q15" s="24"/>
      <c r="R15" s="24"/>
    </row>
    <row r="16" customFormat="false" ht="15" hidden="false" customHeight="false" outlineLevel="0" collapsed="false">
      <c r="B16" s="25" t="s">
        <v>17</v>
      </c>
      <c r="C16" s="26" t="s">
        <v>18</v>
      </c>
      <c r="D16" s="26" t="s">
        <v>19</v>
      </c>
      <c r="E16" s="26" t="s">
        <v>20</v>
      </c>
      <c r="F16" s="26" t="s">
        <v>21</v>
      </c>
      <c r="H16" s="27" t="s">
        <v>22</v>
      </c>
      <c r="I16" s="28" t="s">
        <v>23</v>
      </c>
      <c r="J16" s="28" t="s">
        <v>18</v>
      </c>
      <c r="K16" s="28" t="s">
        <v>24</v>
      </c>
      <c r="L16" s="27" t="s">
        <v>25</v>
      </c>
      <c r="N16" s="29" t="s">
        <v>26</v>
      </c>
      <c r="O16" s="30" t="s">
        <v>18</v>
      </c>
      <c r="P16" s="30" t="s">
        <v>19</v>
      </c>
      <c r="Q16" s="30" t="s">
        <v>23</v>
      </c>
      <c r="R16" s="30" t="s">
        <v>27</v>
      </c>
    </row>
    <row r="17" customFormat="false" ht="15" hidden="false" customHeight="false" outlineLevel="0" collapsed="false">
      <c r="B17" s="31" t="str">
        <f aca="false">INDEX(Data_Categories!$A$2:$A$7,MATCH(LARGE(Data_Categories!$D$2:$D$7,1),Data_Categories!$D$2:$D$7,0))</f>
        <v>IT Hardware</v>
      </c>
      <c r="C17" s="32" t="n">
        <f aca="false">INDEX(Data_Categories!$D$2:$D$7,MATCH(LARGE(Data_Categories!$D$2:$D$7,1),Data_Categories!$D$2:$D$7,0))</f>
        <v>3999.58</v>
      </c>
      <c r="D17" s="33" t="n">
        <f aca="false">INDEX(Data_Categories!$E$2:$E$7,MATCH(LARGE(Data_Categories!$D$2:$D$7,1),Data_Categories!$D$2:$D$7,0))</f>
        <v>0.635307759510762</v>
      </c>
      <c r="E17" s="34" t="n">
        <f aca="false">INDEX(Data_Categories!$F$2:$F$7,MATCH(LARGE(Data_Categories!$D$2:$D$7,1),Data_Categories!$D$2:$D$7,0))</f>
        <v>-0.0252400819611425</v>
      </c>
      <c r="F17" s="35" t="n">
        <f aca="false">INDEX(Data_Categories!$G$2:$G$7,MATCH(LARGE(Data_Categories!$D$2:$D$7,1),Data_Categories!$D$2:$D$7,0))</f>
        <v>-51.1199999999999</v>
      </c>
      <c r="H17" s="31" t="s">
        <v>28</v>
      </c>
      <c r="I17" s="36" t="n">
        <f aca="false">SUM(Calculations!$E$2:$E$7)</f>
        <v>50</v>
      </c>
      <c r="J17" s="32" t="n">
        <f aca="false">SUM(Calculations!$G$2:$G$7)</f>
        <v>26.9183116</v>
      </c>
      <c r="K17" s="37" t="n">
        <f aca="false">J17*1000000/Calculations!$B$2</f>
        <v>0.00427574104581036</v>
      </c>
      <c r="L17" s="38" t="str">
        <f aca="false">Calculations!$E$11</f>
        <v>Logistics</v>
      </c>
      <c r="N17" s="31" t="str">
        <f aca="false">INDEX(Data_Suppliers!$A$2:$A$51,MATCH(LARGE(Data_Suppliers!$B$2:$B$51,1),Data_Suppliers!$B$2:$B$51,0))</f>
        <v>SUP-18</v>
      </c>
      <c r="O17" s="32" t="n">
        <f aca="false">LARGE(Data_Suppliers!$B$2:$B$51,1)/1000000</f>
        <v>179.753375</v>
      </c>
      <c r="P17" s="37" t="n">
        <f aca="false">INDEX(Data_Suppliers!$E$2:$E$51,MATCH(LARGE(Data_Suppliers!$B$2:$B$51,1),Data_Suppliers!$B$2:$B$51,0))</f>
        <v>0.0285522693633742</v>
      </c>
      <c r="Q17" s="36" t="n">
        <f aca="false">INDEX(Data_Suppliers!$C$2:$C$51,MATCH(LARGE(Data_Suppliers!$B$2:$B$51,1),Data_Suppliers!$B$2:$B$51,0))</f>
        <v>2012</v>
      </c>
      <c r="R17" s="36" t="n">
        <f aca="false">INDEX(Data_Suppliers!$F$2:$F$51,MATCH(LARGE(Data_Suppliers!$B$2:$B$51,1),Data_Suppliers!$B$2:$B$51,0))</f>
        <v>0</v>
      </c>
    </row>
    <row r="18" customFormat="false" ht="15" hidden="false" customHeight="false" outlineLevel="0" collapsed="false">
      <c r="B18" s="31" t="str">
        <f aca="false">INDEX(Data_Categories!$A$2:$A$7,MATCH(LARGE(Data_Categories!$D$2:$D$7,2),Data_Categories!$D$2:$D$7,0))</f>
        <v>Marketing Services</v>
      </c>
      <c r="C18" s="32" t="n">
        <f aca="false">INDEX(Data_Categories!$D$2:$D$7,MATCH(LARGE(Data_Categories!$D$2:$D$7,2),Data_Categories!$D$2:$D$7,0))</f>
        <v>1218.86</v>
      </c>
      <c r="D18" s="33" t="n">
        <f aca="false">INDEX(Data_Categories!$E$2:$E$7,MATCH(LARGE(Data_Categories!$D$2:$D$7,2),Data_Categories!$D$2:$D$7,0))</f>
        <v>0.193608132793265</v>
      </c>
      <c r="E18" s="34" t="n">
        <f aca="false">INDEX(Data_Categories!$F$2:$F$7,MATCH(LARGE(Data_Categories!$D$2:$D$7,2),Data_Categories!$D$2:$D$7,0))</f>
        <v>0.0691259103332369</v>
      </c>
      <c r="F18" s="35" t="n">
        <f aca="false">INDEX(Data_Categories!$G$2:$G$7,MATCH(LARGE(Data_Categories!$D$2:$D$7,2),Data_Categories!$D$2:$D$7,0))</f>
        <v>40.7199999999999</v>
      </c>
      <c r="H18" s="31" t="s">
        <v>29</v>
      </c>
      <c r="I18" s="36" t="n">
        <f aca="false">SUM(Calculations!$F$2:$F$7)</f>
        <v>30</v>
      </c>
      <c r="J18" s="32" t="n">
        <f aca="false">SUM(Calculations!$H$2:$H$7)</f>
        <v>165.487894</v>
      </c>
      <c r="K18" s="37" t="n">
        <f aca="false">J18*1000000/Calculations!$B$2</f>
        <v>0.0262863210544198</v>
      </c>
      <c r="L18" s="38" t="str">
        <f aca="false">Calculations!$E$12</f>
        <v>Raw Materials</v>
      </c>
      <c r="N18" s="31" t="str">
        <f aca="false">INDEX(Data_Suppliers!$A$2:$A$51,MATCH(LARGE(Data_Suppliers!$B$2:$B$51,2),Data_Suppliers!$B$2:$B$51,0))</f>
        <v>SUP-46</v>
      </c>
      <c r="O18" s="32" t="n">
        <f aca="false">LARGE(Data_Suppliers!$B$2:$B$51,2)/1000000</f>
        <v>159.930853</v>
      </c>
      <c r="P18" s="37" t="n">
        <f aca="false">INDEX(Data_Suppliers!$E$2:$E$51,MATCH(LARGE(Data_Suppliers!$B$2:$B$51,2),Data_Suppliers!$B$2:$B$51,0))</f>
        <v>0.0254036331410757</v>
      </c>
      <c r="Q18" s="36" t="n">
        <f aca="false">INDEX(Data_Suppliers!$C$2:$C$51,MATCH(LARGE(Data_Suppliers!$B$2:$B$51,2),Data_Suppliers!$B$2:$B$51,0))</f>
        <v>1988</v>
      </c>
      <c r="R18" s="36" t="n">
        <f aca="false">INDEX(Data_Suppliers!$F$2:$F$51,MATCH(LARGE(Data_Suppliers!$B$2:$B$51,2),Data_Suppliers!$B$2:$B$51,0))</f>
        <v>2</v>
      </c>
    </row>
    <row r="19" customFormat="false" ht="15" hidden="false" customHeight="false" outlineLevel="0" collapsed="false">
      <c r="B19" s="31" t="str">
        <f aca="false">INDEX(Data_Categories!$A$2:$A$7,MATCH(LARGE(Data_Categories!$D$2:$D$7,3),Data_Categories!$D$2:$D$7,0))</f>
        <v>Media &amp; Energy</v>
      </c>
      <c r="C19" s="32" t="n">
        <f aca="false">INDEX(Data_Categories!$D$2:$D$7,MATCH(LARGE(Data_Categories!$D$2:$D$7,3),Data_Categories!$D$2:$D$7,0))</f>
        <v>631.89</v>
      </c>
      <c r="D19" s="33" t="n">
        <f aca="false">INDEX(Data_Categories!$E$2:$E$7,MATCH(LARGE(Data_Categories!$D$2:$D$7,3),Data_Categories!$D$2:$D$7,0))</f>
        <v>0.100371694067191</v>
      </c>
      <c r="E19" s="34" t="n">
        <f aca="false">INDEX(Data_Categories!$F$2:$F$7,MATCH(LARGE(Data_Categories!$D$2:$D$7,3),Data_Categories!$D$2:$D$7,0))</f>
        <v>0.00580897057423124</v>
      </c>
      <c r="F19" s="35" t="n">
        <f aca="false">INDEX(Data_Categories!$G$2:$G$7,MATCH(LARGE(Data_Categories!$D$2:$D$7,3),Data_Categories!$D$2:$D$7,0))</f>
        <v>1.83000000000004</v>
      </c>
      <c r="H19" s="39" t="s">
        <v>30</v>
      </c>
      <c r="I19" s="40" t="n">
        <f aca="false">I17+I18</f>
        <v>80</v>
      </c>
      <c r="J19" s="41" t="n">
        <f aca="false">J17+J18</f>
        <v>192.4062056</v>
      </c>
      <c r="K19" s="42" t="n">
        <f aca="false">K17+K18</f>
        <v>0.0305620621002302</v>
      </c>
      <c r="L19" s="43"/>
      <c r="N19" s="31" t="str">
        <f aca="false">INDEX(Data_Suppliers!$A$2:$A$51,MATCH(LARGE(Data_Suppliers!$B$2:$B$51,3),Data_Suppliers!$B$2:$B$51,0))</f>
        <v>SUP-12</v>
      </c>
      <c r="O19" s="32" t="n">
        <f aca="false">LARGE(Data_Suppliers!$B$2:$B$51,3)/1000000</f>
        <v>148.038153</v>
      </c>
      <c r="P19" s="37" t="n">
        <f aca="false">INDEX(Data_Suppliers!$E$2:$E$51,MATCH(LARGE(Data_Suppliers!$B$2:$B$51,3),Data_Suppliers!$B$2:$B$51,0))</f>
        <v>0.0235145805774852</v>
      </c>
      <c r="Q19" s="36" t="n">
        <f aca="false">INDEX(Data_Suppliers!$C$2:$C$51,MATCH(LARGE(Data_Suppliers!$B$2:$B$51,3),Data_Suppliers!$B$2:$B$51,0))</f>
        <v>1976</v>
      </c>
      <c r="R19" s="36" t="n">
        <f aca="false">INDEX(Data_Suppliers!$F$2:$F$51,MATCH(LARGE(Data_Suppliers!$B$2:$B$51,3),Data_Suppliers!$B$2:$B$51,0))</f>
        <v>6</v>
      </c>
    </row>
    <row r="20" customFormat="false" ht="15" hidden="false" customHeight="false" outlineLevel="0" collapsed="false">
      <c r="B20" s="31" t="str">
        <f aca="false">INDEX(Data_Categories!$A$2:$A$7,MATCH(LARGE(Data_Categories!$D$2:$D$7,4),Data_Categories!$D$2:$D$7,0))</f>
        <v>Logistics</v>
      </c>
      <c r="C20" s="32" t="n">
        <f aca="false">INDEX(Data_Categories!$D$2:$D$7,MATCH(LARGE(Data_Categories!$D$2:$D$7,4),Data_Categories!$D$2:$D$7,0))</f>
        <v>240.39</v>
      </c>
      <c r="D20" s="33" t="n">
        <f aca="false">INDEX(Data_Categories!$E$2:$E$7,MATCH(LARGE(Data_Categories!$D$2:$D$7,4),Data_Categories!$D$2:$D$7,0))</f>
        <v>0.0381844174410293</v>
      </c>
      <c r="E20" s="34" t="n">
        <f aca="false">INDEX(Data_Categories!$F$2:$F$7,MATCH(LARGE(Data_Categories!$D$2:$D$7,4),Data_Categories!$D$2:$D$7,0))</f>
        <v>0.0363405336721729</v>
      </c>
      <c r="F20" s="35" t="n">
        <f aca="false">INDEX(Data_Categories!$G$2:$G$7,MATCH(LARGE(Data_Categories!$D$2:$D$7,4),Data_Categories!$D$2:$D$7,0))</f>
        <v>4.29000000000001</v>
      </c>
      <c r="N20" s="31" t="str">
        <f aca="false">INDEX(Data_Suppliers!$A$2:$A$51,MATCH(LARGE(Data_Suppliers!$B$2:$B$51,4),Data_Suppliers!$B$2:$B$51,0))</f>
        <v>SUP-14</v>
      </c>
      <c r="O20" s="32" t="n">
        <f aca="false">LARGE(Data_Suppliers!$B$2:$B$51,4)/1000000</f>
        <v>147.786075</v>
      </c>
      <c r="P20" s="37" t="n">
        <f aca="false">INDEX(Data_Suppliers!$E$2:$E$51,MATCH(LARGE(Data_Suppliers!$B$2:$B$51,4),Data_Suppliers!$B$2:$B$51,0))</f>
        <v>0.0234745401668026</v>
      </c>
      <c r="Q20" s="36" t="n">
        <f aca="false">INDEX(Data_Suppliers!$C$2:$C$51,MATCH(LARGE(Data_Suppliers!$B$2:$B$51,4),Data_Suppliers!$B$2:$B$51,0))</f>
        <v>2073</v>
      </c>
      <c r="R20" s="36" t="n">
        <f aca="false">INDEX(Data_Suppliers!$F$2:$F$51,MATCH(LARGE(Data_Suppliers!$B$2:$B$51,4),Data_Suppliers!$B$2:$B$51,0))</f>
        <v>3</v>
      </c>
    </row>
    <row r="21" customFormat="false" ht="15" hidden="false" customHeight="false" outlineLevel="0" collapsed="false">
      <c r="B21" s="31" t="str">
        <f aca="false">INDEX(Data_Categories!$A$2:$A$7,MATCH(LARGE(Data_Categories!$D$2:$D$7,5),Data_Categories!$D$2:$D$7,0))</f>
        <v>Raw Materials</v>
      </c>
      <c r="C21" s="32" t="n">
        <f aca="false">INDEX(Data_Categories!$D$2:$D$7,MATCH(LARGE(Data_Categories!$D$2:$D$7,5),Data_Categories!$D$2:$D$7,0))</f>
        <v>164.89</v>
      </c>
      <c r="D21" s="33" t="n">
        <f aca="false">INDEX(Data_Categories!$E$2:$E$7,MATCH(LARGE(Data_Categories!$D$2:$D$7,5),Data_Categories!$D$2:$D$7,0))</f>
        <v>0.0261917242474784</v>
      </c>
      <c r="E21" s="34" t="n">
        <f aca="false">INDEX(Data_Categories!$F$2:$F$7,MATCH(LARGE(Data_Categories!$D$2:$D$7,5),Data_Categories!$D$2:$D$7,0))</f>
        <v>-0.00230191422340698</v>
      </c>
      <c r="F21" s="35" t="n">
        <f aca="false">INDEX(Data_Categories!$G$2:$G$7,MATCH(LARGE(Data_Categories!$D$2:$D$7,5),Data_Categories!$D$2:$D$7,0))</f>
        <v>-0.190000000000012</v>
      </c>
      <c r="H21" s="23" t="s">
        <v>31</v>
      </c>
      <c r="I21" s="23"/>
      <c r="J21" s="23"/>
      <c r="K21" s="23"/>
      <c r="L21" s="23"/>
      <c r="N21" s="31" t="str">
        <f aca="false">INDEX(Data_Suppliers!$A$2:$A$51,MATCH(LARGE(Data_Suppliers!$B$2:$B$51,5),Data_Suppliers!$B$2:$B$51,0))</f>
        <v>SUP-30</v>
      </c>
      <c r="O21" s="32" t="n">
        <f aca="false">LARGE(Data_Suppliers!$B$2:$B$51,5)/1000000</f>
        <v>143.315737</v>
      </c>
      <c r="P21" s="37" t="n">
        <f aca="false">INDEX(Data_Suppliers!$E$2:$E$51,MATCH(LARGE(Data_Suppliers!$B$2:$B$51,5),Data_Suppliers!$B$2:$B$51,0))</f>
        <v>0.0227644656287232</v>
      </c>
      <c r="Q21" s="36" t="n">
        <f aca="false">INDEX(Data_Suppliers!$C$2:$C$51,MATCH(LARGE(Data_Suppliers!$B$2:$B$51,5),Data_Suppliers!$B$2:$B$51,0))</f>
        <v>2012</v>
      </c>
      <c r="R21" s="36" t="n">
        <f aca="false">INDEX(Data_Suppliers!$F$2:$F$51,MATCH(LARGE(Data_Suppliers!$B$2:$B$51,5),Data_Suppliers!$B$2:$B$51,0))</f>
        <v>3</v>
      </c>
    </row>
    <row r="22" customFormat="false" ht="19.4" hidden="false" customHeight="false" outlineLevel="0" collapsed="false">
      <c r="B22" s="31" t="str">
        <f aca="false">INDEX(Data_Categories!$A$2:$A$7,MATCH(LARGE(Data_Categories!$D$2:$D$7,6),Data_Categories!$D$2:$D$7,0))</f>
        <v>Office Supplies</v>
      </c>
      <c r="C22" s="32" t="n">
        <f aca="false">INDEX(Data_Categories!$D$2:$D$7,MATCH(LARGE(Data_Categories!$D$2:$D$7,6),Data_Categories!$D$2:$D$7,0))</f>
        <v>39.89</v>
      </c>
      <c r="D22" s="33" t="n">
        <f aca="false">INDEX(Data_Categories!$E$2:$E$7,MATCH(LARGE(Data_Categories!$D$2:$D$7,6),Data_Categories!$D$2:$D$7,0))</f>
        <v>0.0063362719402748</v>
      </c>
      <c r="E22" s="34" t="n">
        <f aca="false">INDEX(Data_Categories!$F$2:$F$7,MATCH(LARGE(Data_Categories!$D$2:$D$7,6),Data_Categories!$D$2:$D$7,0))</f>
        <v>-0.0045022511255628</v>
      </c>
      <c r="F22" s="35" t="n">
        <f aca="false">INDEX(Data_Categories!$G$2:$G$7,MATCH(LARGE(Data_Categories!$D$2:$D$7,6),Data_Categories!$D$2:$D$7,0))</f>
        <v>-0.0899999999999999</v>
      </c>
      <c r="H22" s="27" t="s">
        <v>17</v>
      </c>
      <c r="I22" s="28" t="s">
        <v>32</v>
      </c>
      <c r="J22" s="28" t="s">
        <v>18</v>
      </c>
      <c r="K22" s="28" t="s">
        <v>33</v>
      </c>
      <c r="L22" s="27" t="s">
        <v>34</v>
      </c>
      <c r="N22" s="31" t="str">
        <f aca="false">INDEX(Data_Suppliers!$A$2:$A$51,MATCH(LARGE(Data_Suppliers!$B$2:$B$51,6),Data_Suppliers!$B$2:$B$51,0))</f>
        <v>SUP-27</v>
      </c>
      <c r="O22" s="32" t="n">
        <f aca="false">LARGE(Data_Suppliers!$B$2:$B$51,6)/1000000</f>
        <v>135.626018</v>
      </c>
      <c r="P22" s="37" t="n">
        <f aca="false">INDEX(Data_Suppliers!$E$2:$E$51,MATCH(LARGE(Data_Suppliers!$B$2:$B$51,6),Data_Suppliers!$B$2:$B$51,0))</f>
        <v>0.0215430202554908</v>
      </c>
      <c r="Q22" s="36" t="n">
        <f aca="false">INDEX(Data_Suppliers!$C$2:$C$51,MATCH(LARGE(Data_Suppliers!$B$2:$B$51,6),Data_Suppliers!$B$2:$B$51,0))</f>
        <v>2019</v>
      </c>
      <c r="R22" s="36" t="n">
        <f aca="false">INDEX(Data_Suppliers!$F$2:$F$51,MATCH(LARGE(Data_Suppliers!$B$2:$B$51,6),Data_Suppliers!$B$2:$B$51,0))</f>
        <v>2</v>
      </c>
    </row>
    <row r="23" customFormat="false" ht="15" hidden="false" customHeight="false" outlineLevel="0" collapsed="false">
      <c r="B23" s="39" t="s">
        <v>30</v>
      </c>
      <c r="C23" s="41" t="n">
        <f aca="false">SUM(C17:C22)</f>
        <v>6295.5</v>
      </c>
      <c r="D23" s="44" t="n">
        <f aca="false">SUM(D17:D22)</f>
        <v>1</v>
      </c>
      <c r="E23" s="45" t="n">
        <f aca="false">SUM(Data_Categories!$C$2:$C$7)/SUM(Data_Categories!$B$2:$B$7)-1</f>
        <v>-0.00144760526090226</v>
      </c>
      <c r="F23" s="46" t="n">
        <f aca="false">SUM(F17:F22)</f>
        <v>-4.55999999999994</v>
      </c>
      <c r="H23" s="31" t="str">
        <f aca="false">INDEX(Data_Outliers!$A$2:$A7,MATCH(LARGE(Data_Outliers!$C$2:$C7,1),Data_Outliers!$C$2:$C7,0))</f>
        <v>IT Hardware</v>
      </c>
      <c r="I23" s="36" t="n">
        <f aca="false">INDEX(Data_Outliers!$B$2:$B7,MATCH(LARGE(Data_Outliers!$C$2:$C7,1),Data_Outliers!$C$2:$C7,0))</f>
        <v>76</v>
      </c>
      <c r="J23" s="47" t="n">
        <f aca="false">INDEX(Data_Outliers!$C$2:$C7,MATCH(LARGE(Data_Outliers!$C$2:$C7,1),Data_Outliers!$C$2:$C7,0))</f>
        <v>40.47</v>
      </c>
      <c r="K23" s="36" t="n">
        <f aca="false">INDEX(Data_Outliers!$D$2:$D7,MATCH(LARGE(Data_Outliers!$C$2:$C7,1),Data_Outliers!$C$2:$C7,0))</f>
        <v>7213</v>
      </c>
      <c r="L23" s="38" t="str">
        <f aca="false">INDEX(Data_Outliers!$E$2:$E7,MATCH(LARGE(Data_Outliers!$C$2:$C7,1),Data_Outliers!$C$2:$C7,0))</f>
        <v>HIGH</v>
      </c>
      <c r="N23" s="31" t="str">
        <f aca="false">INDEX(Data_Suppliers!$A$2:$A$51,MATCH(LARGE(Data_Suppliers!$B$2:$B$51,7),Data_Suppliers!$B$2:$B$51,0))</f>
        <v>SUP-47</v>
      </c>
      <c r="O23" s="32" t="n">
        <f aca="false">LARGE(Data_Suppliers!$B$2:$B$51,7)/1000000</f>
        <v>133.400177</v>
      </c>
      <c r="P23" s="37" t="n">
        <f aca="false">INDEX(Data_Suppliers!$E$2:$E$51,MATCH(LARGE(Data_Suppliers!$B$2:$B$51,7),Data_Suppliers!$B$2:$B$51,0))</f>
        <v>0.0211894646585957</v>
      </c>
      <c r="Q23" s="36" t="n">
        <f aca="false">INDEX(Data_Suppliers!$C$2:$C$51,MATCH(LARGE(Data_Suppliers!$B$2:$B$51,7),Data_Suppliers!$B$2:$B$51,0))</f>
        <v>2084</v>
      </c>
      <c r="R23" s="36" t="n">
        <f aca="false">INDEX(Data_Suppliers!$F$2:$F$51,MATCH(LARGE(Data_Suppliers!$B$2:$B$51,7),Data_Suppliers!$B$2:$B$51,0))</f>
        <v>2</v>
      </c>
    </row>
    <row r="24" customFormat="false" ht="15" hidden="false" customHeight="false" outlineLevel="0" collapsed="false">
      <c r="H24" s="31" t="str">
        <f aca="false">INDEX(Data_Outliers!$A$2:$A7,MATCH(LARGE(Data_Outliers!$C$2:$C7,2),Data_Outliers!$C$2:$C7,0))</f>
        <v>Marketing Services</v>
      </c>
      <c r="I24" s="36" t="n">
        <f aca="false">INDEX(Data_Outliers!$B$2:$B7,MATCH(LARGE(Data_Outliers!$C$2:$C7,2),Data_Outliers!$C$2:$C7,0))</f>
        <v>27</v>
      </c>
      <c r="J24" s="47" t="n">
        <f aca="false">INDEX(Data_Outliers!$C$2:$C7,MATCH(LARGE(Data_Outliers!$C$2:$C7,2),Data_Outliers!$C$2:$C7,0))</f>
        <v>9.68</v>
      </c>
      <c r="K24" s="36" t="n">
        <f aca="false">INDEX(Data_Outliers!$D$2:$D7,MATCH(LARGE(Data_Outliers!$C$2:$C7,2),Data_Outliers!$C$2:$C7,0))</f>
        <v>2262</v>
      </c>
      <c r="L24" s="38" t="str">
        <f aca="false">INDEX(Data_Outliers!$E$2:$E7,MATCH(LARGE(Data_Outliers!$C$2:$C7,2),Data_Outliers!$C$2:$C7,0))</f>
        <v>MEDIUM</v>
      </c>
      <c r="N24" s="31" t="str">
        <f aca="false">INDEX(Data_Suppliers!$A$2:$A$51,MATCH(LARGE(Data_Suppliers!$B$2:$B$51,8),Data_Suppliers!$B$2:$B$51,0))</f>
        <v>SUP-44</v>
      </c>
      <c r="O24" s="32" t="n">
        <f aca="false">LARGE(Data_Suppliers!$B$2:$B$51,8)/1000000</f>
        <v>131.412367</v>
      </c>
      <c r="P24" s="37" t="n">
        <f aca="false">INDEX(Data_Suppliers!$E$2:$E$51,MATCH(LARGE(Data_Suppliers!$B$2:$B$51,8),Data_Suppliers!$B$2:$B$51,0))</f>
        <v>0.0208737182278919</v>
      </c>
      <c r="Q24" s="36" t="n">
        <f aca="false">INDEX(Data_Suppliers!$C$2:$C$51,MATCH(LARGE(Data_Suppliers!$B$2:$B$51,8),Data_Suppliers!$B$2:$B$51,0))</f>
        <v>2016</v>
      </c>
      <c r="R24" s="36" t="n">
        <f aca="false">INDEX(Data_Suppliers!$F$2:$F$51,MATCH(LARGE(Data_Suppliers!$B$2:$B$51,8),Data_Suppliers!$B$2:$B$51,0))</f>
        <v>2</v>
      </c>
    </row>
    <row r="25" customFormat="false" ht="15" hidden="false" customHeight="false" outlineLevel="0" collapsed="false">
      <c r="B25" s="22" t="s">
        <v>35</v>
      </c>
      <c r="C25" s="22"/>
      <c r="D25" s="22"/>
      <c r="E25" s="22"/>
      <c r="F25" s="22"/>
      <c r="H25" s="31" t="str">
        <f aca="false">INDEX(Data_Outliers!$A$2:$A7,MATCH(LARGE(Data_Outliers!$C$2:$C7,3),Data_Outliers!$C$2:$C7,0))</f>
        <v>Media &amp; Energy</v>
      </c>
      <c r="I25" s="36" t="n">
        <f aca="false">INDEX(Data_Outliers!$B$2:$B7,MATCH(LARGE(Data_Outliers!$C$2:$C7,3),Data_Outliers!$C$2:$C7,0))</f>
        <v>166</v>
      </c>
      <c r="J25" s="47" t="n">
        <f aca="false">INDEX(Data_Outliers!$C$2:$C7,MATCH(LARGE(Data_Outliers!$C$2:$C7,3),Data_Outliers!$C$2:$C7,0))</f>
        <v>9.5</v>
      </c>
      <c r="K25" s="36" t="n">
        <f aca="false">INDEX(Data_Outliers!$D$2:$D7,MATCH(LARGE(Data_Outliers!$C$2:$C7,3),Data_Outliers!$C$2:$C7,0))</f>
        <v>1031</v>
      </c>
      <c r="L25" s="38" t="str">
        <f aca="false">INDEX(Data_Outliers!$E$2:$E7,MATCH(LARGE(Data_Outliers!$C$2:$C7,3),Data_Outliers!$C$2:$C7,0))</f>
        <v>MEDIUM</v>
      </c>
      <c r="N25" s="31" t="str">
        <f aca="false">INDEX(Data_Suppliers!$A$2:$A$51,MATCH(LARGE(Data_Suppliers!$B$2:$B$51,9),Data_Suppliers!$B$2:$B$51,0))</f>
        <v>SUP-05</v>
      </c>
      <c r="O25" s="32" t="n">
        <f aca="false">LARGE(Data_Suppliers!$B$2:$B$51,9)/1000000</f>
        <v>131.264849</v>
      </c>
      <c r="P25" s="37" t="n">
        <f aca="false">INDEX(Data_Suppliers!$E$2:$E$51,MATCH(LARGE(Data_Suppliers!$B$2:$B$51,9),Data_Suppliers!$B$2:$B$51,0))</f>
        <v>0.0208502862691209</v>
      </c>
      <c r="Q25" s="36" t="n">
        <f aca="false">INDEX(Data_Suppliers!$C$2:$C$51,MATCH(LARGE(Data_Suppliers!$B$2:$B$51,9),Data_Suppliers!$B$2:$B$51,0))</f>
        <v>2053</v>
      </c>
      <c r="R25" s="36" t="n">
        <f aca="false">INDEX(Data_Suppliers!$F$2:$F$51,MATCH(LARGE(Data_Suppliers!$B$2:$B$51,9),Data_Suppliers!$B$2:$B$51,0))</f>
        <v>0</v>
      </c>
    </row>
    <row r="26" customFormat="false" ht="15" hidden="false" customHeight="false" outlineLevel="0" collapsed="false">
      <c r="B26" s="25" t="s">
        <v>36</v>
      </c>
      <c r="C26" s="26" t="s">
        <v>37</v>
      </c>
      <c r="D26" s="26" t="s">
        <v>38</v>
      </c>
      <c r="E26" s="26" t="s">
        <v>21</v>
      </c>
      <c r="F26" s="26" t="s">
        <v>39</v>
      </c>
      <c r="H26" s="31" t="str">
        <f aca="false">INDEX(Data_Outliers!$A$2:$A7,MATCH(LARGE(Data_Outliers!$C$2:$C7,4),Data_Outliers!$C$2:$C7,0))</f>
        <v>Logistics</v>
      </c>
      <c r="I26" s="36" t="n">
        <f aca="false">INDEX(Data_Outliers!$B$2:$B7,MATCH(LARGE(Data_Outliers!$C$2:$C7,4),Data_Outliers!$C$2:$C7,0))</f>
        <v>13</v>
      </c>
      <c r="J26" s="47" t="n">
        <f aca="false">INDEX(Data_Outliers!$C$2:$C7,MATCH(LARGE(Data_Outliers!$C$2:$C7,4),Data_Outliers!$C$2:$C7,0))</f>
        <v>3.02</v>
      </c>
      <c r="K26" s="36" t="n">
        <f aca="false">INDEX(Data_Outliers!$D$2:$D7,MATCH(LARGE(Data_Outliers!$C$2:$C7,4),Data_Outliers!$C$2:$C7,0))</f>
        <v>510</v>
      </c>
      <c r="L26" s="38" t="str">
        <f aca="false">INDEX(Data_Outliers!$E$2:$E7,MATCH(LARGE(Data_Outliers!$C$2:$C7,4),Data_Outliers!$C$2:$C7,0))</f>
        <v>LOW</v>
      </c>
      <c r="N26" s="31" t="str">
        <f aca="false">INDEX(Data_Suppliers!$A$2:$A$51,MATCH(LARGE(Data_Suppliers!$B$2:$B$51,10),Data_Suppliers!$B$2:$B$51,0))</f>
        <v>SUP-39</v>
      </c>
      <c r="O26" s="32" t="n">
        <f aca="false">LARGE(Data_Suppliers!$B$2:$B$51,10)/1000000</f>
        <v>130.938159</v>
      </c>
      <c r="P26" s="37" t="n">
        <f aca="false">INDEX(Data_Suppliers!$E$2:$E$51,MATCH(LARGE(Data_Suppliers!$B$2:$B$51,10),Data_Suppliers!$B$2:$B$51,0))</f>
        <v>0.0207983943873784</v>
      </c>
      <c r="Q26" s="36" t="n">
        <f aca="false">INDEX(Data_Suppliers!$C$2:$C$51,MATCH(LARGE(Data_Suppliers!$B$2:$B$51,10),Data_Suppliers!$B$2:$B$51,0))</f>
        <v>2014</v>
      </c>
      <c r="R26" s="36" t="n">
        <f aca="false">INDEX(Data_Suppliers!$F$2:$F$51,MATCH(LARGE(Data_Suppliers!$B$2:$B$51,10),Data_Suppliers!$B$2:$B$51,0))</f>
        <v>2</v>
      </c>
    </row>
    <row r="27" customFormat="false" ht="15" hidden="false" customHeight="false" outlineLevel="0" collapsed="false">
      <c r="B27" s="31" t="str">
        <f aca="false">Data_Months!A2</f>
        <v>Jan</v>
      </c>
      <c r="C27" s="32" t="n">
        <f aca="false">Data_Months!B2</f>
        <v>256.8</v>
      </c>
      <c r="D27" s="32" t="n">
        <f aca="false">Data_Months!C2</f>
        <v>261.1</v>
      </c>
      <c r="E27" s="35" t="n">
        <f aca="false">Data_Months!D2</f>
        <v>4.30000000000001</v>
      </c>
      <c r="F27" s="34" t="n">
        <f aca="false">Data_Months!E2</f>
        <v>0.0167445482866044</v>
      </c>
      <c r="H27" s="31" t="str">
        <f aca="false">INDEX(Data_Outliers!$A$2:$A7,MATCH(LARGE(Data_Outliers!$C$2:$C7,5),Data_Outliers!$C$2:$C7,0))</f>
        <v>Raw Materials</v>
      </c>
      <c r="I27" s="36" t="n">
        <f aca="false">INDEX(Data_Outliers!$B$2:$B7,MATCH(LARGE(Data_Outliers!$C$2:$C7,5),Data_Outliers!$C$2:$C7,0))</f>
        <v>10</v>
      </c>
      <c r="J27" s="47" t="n">
        <f aca="false">INDEX(Data_Outliers!$C$2:$C7,MATCH(LARGE(Data_Outliers!$C$2:$C7,5),Data_Outliers!$C$2:$C7,0))</f>
        <v>0.83</v>
      </c>
      <c r="K27" s="36" t="n">
        <f aca="false">INDEX(Data_Outliers!$D$2:$D7,MATCH(LARGE(Data_Outliers!$C$2:$C7,5),Data_Outliers!$C$2:$C7,0))</f>
        <v>320</v>
      </c>
      <c r="L27" s="38" t="str">
        <f aca="false">INDEX(Data_Outliers!$E$2:$E7,MATCH(LARGE(Data_Outliers!$C$2:$C7,5),Data_Outliers!$C$2:$C7,0))</f>
        <v>LOW</v>
      </c>
      <c r="N27" s="31" t="str">
        <f aca="false">INDEX(Data_Suppliers!$A$2:$A$51,MATCH(LARGE(Data_Suppliers!$B$2:$B$51,11),Data_Suppliers!$B$2:$B$51,0))</f>
        <v>SUP-04</v>
      </c>
      <c r="O27" s="32" t="n">
        <f aca="false">LARGE(Data_Suppliers!$B$2:$B$51,11)/1000000</f>
        <v>129.96584</v>
      </c>
      <c r="P27" s="37" t="n">
        <f aca="false">INDEX(Data_Suppliers!$E$2:$E$51,MATCH(LARGE(Data_Suppliers!$B$2:$B$51,11),Data_Suppliers!$B$2:$B$51,0))</f>
        <v>0.020643949921481</v>
      </c>
      <c r="Q27" s="36" t="n">
        <f aca="false">INDEX(Data_Suppliers!$C$2:$C$51,MATCH(LARGE(Data_Suppliers!$B$2:$B$51,11),Data_Suppliers!$B$2:$B$51,0))</f>
        <v>2078</v>
      </c>
      <c r="R27" s="36" t="n">
        <f aca="false">INDEX(Data_Suppliers!$F$2:$F$51,MATCH(LARGE(Data_Suppliers!$B$2:$B$51,11),Data_Suppliers!$B$2:$B$51,0))</f>
        <v>0</v>
      </c>
    </row>
    <row r="28" customFormat="false" ht="15" hidden="false" customHeight="false" outlineLevel="0" collapsed="false">
      <c r="B28" s="31" t="str">
        <f aca="false">Data_Months!A3</f>
        <v>Feb</v>
      </c>
      <c r="C28" s="32" t="n">
        <f aca="false">Data_Months!B3</f>
        <v>239.6</v>
      </c>
      <c r="D28" s="32" t="n">
        <f aca="false">Data_Months!C3</f>
        <v>236.1</v>
      </c>
      <c r="E28" s="35" t="n">
        <f aca="false">Data_Months!D3</f>
        <v>-3.5</v>
      </c>
      <c r="F28" s="34" t="n">
        <f aca="false">Data_Months!E3</f>
        <v>-0.0146076794657763</v>
      </c>
      <c r="H28" s="31" t="str">
        <f aca="false">INDEX(Data_Outliers!$A$2:$A7,MATCH(LARGE(Data_Outliers!$C$2:$C7,6),Data_Outliers!$C$2:$C7,0))</f>
        <v>Office Supplies</v>
      </c>
      <c r="I28" s="36" t="n">
        <f aca="false">INDEX(Data_Outliers!$B$2:$B7,MATCH(LARGE(Data_Outliers!$C$2:$C7,6),Data_Outliers!$C$2:$C7,0))</f>
        <v>12</v>
      </c>
      <c r="J28" s="47" t="n">
        <f aca="false">INDEX(Data_Outliers!$C$2:$C7,MATCH(LARGE(Data_Outliers!$C$2:$C7,6),Data_Outliers!$C$2:$C7,0))</f>
        <v>0.39</v>
      </c>
      <c r="K28" s="36" t="n">
        <f aca="false">INDEX(Data_Outliers!$D$2:$D7,MATCH(LARGE(Data_Outliers!$C$2:$C7,6),Data_Outliers!$C$2:$C7,0))</f>
        <v>82</v>
      </c>
      <c r="L28" s="38" t="str">
        <f aca="false">INDEX(Data_Outliers!$E$2:$E7,MATCH(LARGE(Data_Outliers!$C$2:$C7,6),Data_Outliers!$C$2:$C7,0))</f>
        <v>LOW</v>
      </c>
      <c r="N28" s="31" t="str">
        <f aca="false">INDEX(Data_Suppliers!$A$2:$A$51,MATCH(LARGE(Data_Suppliers!$B$2:$B$51,12),Data_Suppliers!$B$2:$B$51,0))</f>
        <v>SUP-01</v>
      </c>
      <c r="O28" s="32" t="n">
        <f aca="false">LARGE(Data_Suppliers!$B$2:$B$51,12)/1000000</f>
        <v>129.040275</v>
      </c>
      <c r="P28" s="37" t="n">
        <f aca="false">INDEX(Data_Suppliers!$E$2:$E$51,MATCH(LARGE(Data_Suppliers!$B$2:$B$51,12),Data_Suppliers!$B$2:$B$51,0))</f>
        <v>0.0204969319242205</v>
      </c>
      <c r="Q28" s="36" t="n">
        <f aca="false">INDEX(Data_Suppliers!$C$2:$C$51,MATCH(LARGE(Data_Suppliers!$B$2:$B$51,12),Data_Suppliers!$B$2:$B$51,0))</f>
        <v>2018</v>
      </c>
      <c r="R28" s="36" t="n">
        <f aca="false">INDEX(Data_Suppliers!$F$2:$F$51,MATCH(LARGE(Data_Suppliers!$B$2:$B$51,12),Data_Suppliers!$B$2:$B$51,0))</f>
        <v>5</v>
      </c>
    </row>
    <row r="29" customFormat="false" ht="15" hidden="false" customHeight="false" outlineLevel="0" collapsed="false">
      <c r="B29" s="31" t="str">
        <f aca="false">Data_Months!A4</f>
        <v>Mar</v>
      </c>
      <c r="C29" s="32" t="n">
        <f aca="false">Data_Months!B4</f>
        <v>262.4</v>
      </c>
      <c r="D29" s="32" t="n">
        <f aca="false">Data_Months!C4</f>
        <v>282</v>
      </c>
      <c r="E29" s="35" t="n">
        <f aca="false">Data_Months!D4</f>
        <v>19.6</v>
      </c>
      <c r="F29" s="34" t="n">
        <f aca="false">Data_Months!E4</f>
        <v>0.0746951219512195</v>
      </c>
      <c r="H29" s="39" t="s">
        <v>30</v>
      </c>
      <c r="I29" s="40" t="n">
        <f aca="false">SUM(I23:I28)</f>
        <v>304</v>
      </c>
      <c r="J29" s="48" t="n">
        <f aca="false">SUM(J23:J28)</f>
        <v>63.89</v>
      </c>
      <c r="K29" s="43"/>
      <c r="L29" s="43"/>
      <c r="N29" s="31" t="str">
        <f aca="false">INDEX(Data_Suppliers!$A$2:$A$51,MATCH(LARGE(Data_Suppliers!$B$2:$B$51,13),Data_Suppliers!$B$2:$B$51,0))</f>
        <v>SUP-33</v>
      </c>
      <c r="O29" s="32" t="n">
        <f aca="false">LARGE(Data_Suppliers!$B$2:$B$51,13)/1000000</f>
        <v>128.678298</v>
      </c>
      <c r="P29" s="37" t="n">
        <f aca="false">INDEX(Data_Suppliers!$E$2:$E$51,MATCH(LARGE(Data_Suppliers!$B$2:$B$51,13),Data_Suppliers!$B$2:$B$51,0))</f>
        <v>0.0204394350076405</v>
      </c>
      <c r="Q29" s="36" t="n">
        <f aca="false">INDEX(Data_Suppliers!$C$2:$C$51,MATCH(LARGE(Data_Suppliers!$B$2:$B$51,13),Data_Suppliers!$B$2:$B$51,0))</f>
        <v>2028</v>
      </c>
      <c r="R29" s="36" t="n">
        <f aca="false">INDEX(Data_Suppliers!$F$2:$F$51,MATCH(LARGE(Data_Suppliers!$B$2:$B$51,13),Data_Suppliers!$B$2:$B$51,0))</f>
        <v>1</v>
      </c>
    </row>
    <row r="30" customFormat="false" ht="15" hidden="false" customHeight="false" outlineLevel="0" collapsed="false">
      <c r="B30" s="31" t="str">
        <f aca="false">Data_Months!A5</f>
        <v>Apr</v>
      </c>
      <c r="C30" s="32" t="n">
        <f aca="false">Data_Months!B5</f>
        <v>244.1</v>
      </c>
      <c r="D30" s="32" t="n">
        <f aca="false">Data_Months!C5</f>
        <v>255.5</v>
      </c>
      <c r="E30" s="35" t="n">
        <f aca="false">Data_Months!D5</f>
        <v>11.4</v>
      </c>
      <c r="F30" s="34" t="n">
        <f aca="false">Data_Months!E5</f>
        <v>0.0467021712412945</v>
      </c>
      <c r="N30" s="31" t="str">
        <f aca="false">INDEX(Data_Suppliers!$A$2:$A$51,MATCH(LARGE(Data_Suppliers!$B$2:$B$51,14),Data_Suppliers!$B$2:$B$51,0))</f>
        <v>SUP-08</v>
      </c>
      <c r="O30" s="32" t="n">
        <f aca="false">LARGE(Data_Suppliers!$B$2:$B$51,14)/1000000</f>
        <v>128.494881</v>
      </c>
      <c r="P30" s="37" t="n">
        <f aca="false">INDEX(Data_Suppliers!$E$2:$E$51,MATCH(LARGE(Data_Suppliers!$B$2:$B$51,14),Data_Suppliers!$B$2:$B$51,0))</f>
        <v>0.0204103008031238</v>
      </c>
      <c r="Q30" s="36" t="n">
        <f aca="false">INDEX(Data_Suppliers!$C$2:$C$51,MATCH(LARGE(Data_Suppliers!$B$2:$B$51,14),Data_Suppliers!$B$2:$B$51,0))</f>
        <v>2027</v>
      </c>
      <c r="R30" s="36" t="n">
        <f aca="false">INDEX(Data_Suppliers!$F$2:$F$51,MATCH(LARGE(Data_Suppliers!$B$2:$B$51,14),Data_Suppliers!$B$2:$B$51,0))</f>
        <v>2</v>
      </c>
    </row>
    <row r="31" customFormat="false" ht="15" hidden="false" customHeight="false" outlineLevel="0" collapsed="false">
      <c r="B31" s="31" t="str">
        <f aca="false">Data_Months!A6</f>
        <v>May</v>
      </c>
      <c r="C31" s="32" t="n">
        <f aca="false">Data_Months!B6</f>
        <v>260</v>
      </c>
      <c r="D31" s="32" t="n">
        <f aca="false">Data_Months!C6</f>
        <v>271.3</v>
      </c>
      <c r="E31" s="35" t="n">
        <f aca="false">Data_Months!D6</f>
        <v>11.3</v>
      </c>
      <c r="F31" s="34" t="n">
        <f aca="false">Data_Months!E6</f>
        <v>0.0434615384615384</v>
      </c>
      <c r="H31" s="23" t="s">
        <v>40</v>
      </c>
      <c r="I31" s="23"/>
      <c r="J31" s="23"/>
      <c r="K31" s="23"/>
      <c r="L31" s="23"/>
      <c r="N31" s="31" t="str">
        <f aca="false">INDEX(Data_Suppliers!$A$2:$A$51,MATCH(LARGE(Data_Suppliers!$B$2:$B$51,15),Data_Suppliers!$B$2:$B$51,0))</f>
        <v>SUP-43</v>
      </c>
      <c r="O31" s="32" t="n">
        <f aca="false">LARGE(Data_Suppliers!$B$2:$B$51,15)/1000000</f>
        <v>127.943608</v>
      </c>
      <c r="P31" s="37" t="n">
        <f aca="false">INDEX(Data_Suppliers!$E$2:$E$51,MATCH(LARGE(Data_Suppliers!$B$2:$B$51,15),Data_Suppliers!$B$2:$B$51,0))</f>
        <v>0.0203227358537105</v>
      </c>
      <c r="Q31" s="36" t="n">
        <f aca="false">INDEX(Data_Suppliers!$C$2:$C$51,MATCH(LARGE(Data_Suppliers!$B$2:$B$51,15),Data_Suppliers!$B$2:$B$51,0))</f>
        <v>1922</v>
      </c>
      <c r="R31" s="36" t="n">
        <f aca="false">INDEX(Data_Suppliers!$F$2:$F$51,MATCH(LARGE(Data_Suppliers!$B$2:$B$51,15),Data_Suppliers!$B$2:$B$51,0))</f>
        <v>3</v>
      </c>
    </row>
    <row r="32" customFormat="false" ht="15" hidden="false" customHeight="false" outlineLevel="0" collapsed="false">
      <c r="B32" s="31" t="str">
        <f aca="false">Data_Months!A7</f>
        <v>Jun</v>
      </c>
      <c r="C32" s="32" t="n">
        <f aca="false">Data_Months!B7</f>
        <v>255.6</v>
      </c>
      <c r="D32" s="32" t="n">
        <f aca="false">Data_Months!C7</f>
        <v>254.9</v>
      </c>
      <c r="E32" s="35" t="n">
        <f aca="false">Data_Months!D7</f>
        <v>-0.699999999999989</v>
      </c>
      <c r="F32" s="34" t="n">
        <f aca="false">Data_Months!E7</f>
        <v>-0.00273865414710484</v>
      </c>
      <c r="H32" s="27" t="s">
        <v>41</v>
      </c>
      <c r="I32" s="28" t="s">
        <v>42</v>
      </c>
      <c r="J32" s="27" t="s">
        <v>26</v>
      </c>
      <c r="K32" s="28" t="s">
        <v>18</v>
      </c>
      <c r="L32" s="27" t="s">
        <v>22</v>
      </c>
    </row>
    <row r="33" customFormat="false" ht="15" hidden="false" customHeight="false" outlineLevel="0" collapsed="false">
      <c r="B33" s="31" t="str">
        <f aca="false">Data_Months!A8</f>
        <v>Jul</v>
      </c>
      <c r="C33" s="32" t="n">
        <f aca="false">Data_Months!B8</f>
        <v>260.4</v>
      </c>
      <c r="D33" s="32" t="n">
        <f aca="false">Data_Months!C8</f>
        <v>262.8</v>
      </c>
      <c r="E33" s="35" t="n">
        <f aca="false">Data_Months!D8</f>
        <v>2.40000000000003</v>
      </c>
      <c r="F33" s="34" t="n">
        <f aca="false">Data_Months!E8</f>
        <v>0.00921658986175133</v>
      </c>
      <c r="H33" s="31" t="str">
        <f aca="false">INDEX(Data_Anomalies!$A$2:$A$81,MATCH(LARGE(Data_Anomalies!$I$2:$I$81,1),Data_Anomalies!$I$2:$I$81,0))</f>
        <v>PO-817370</v>
      </c>
      <c r="I33" s="49" t="n">
        <f aca="false">INDEX(Data_Anomalies!$B$2:$B$81,MATCH(LARGE(Data_Anomalies!$I$2:$I$81,1),Data_Anomalies!$I$2:$I$81,0))</f>
        <v>45535</v>
      </c>
      <c r="J33" s="38" t="str">
        <f aca="false">INDEX(Data_Anomalies!$D$2:$D$81,MATCH(LARGE(Data_Anomalies!$I$2:$I$81,1),Data_Anomalies!$I$2:$I$81,0))</f>
        <v>SUP-46</v>
      </c>
      <c r="K33" s="47" t="n">
        <f aca="false">LARGE(Data_Anomalies!$I$2:$I$81,1)/1000000</f>
        <v>38.213365</v>
      </c>
      <c r="L33" s="38" t="str">
        <f aca="false">INDEX(Data_Anomalies!$H$2:$H$81,MATCH(LARGE(Data_Anomalies!$I$2:$I$81,1),Data_Anomalies!$I$2:$I$81,0))</f>
        <v>Quantity anomaly</v>
      </c>
      <c r="N33" s="24" t="s">
        <v>43</v>
      </c>
      <c r="O33" s="24"/>
      <c r="P33" s="24"/>
      <c r="Q33" s="24"/>
      <c r="R33" s="24"/>
    </row>
    <row r="34" customFormat="false" ht="15" hidden="false" customHeight="false" outlineLevel="0" collapsed="false">
      <c r="B34" s="31" t="str">
        <f aca="false">Data_Months!A9</f>
        <v>Aug</v>
      </c>
      <c r="C34" s="32" t="n">
        <f aca="false">Data_Months!B9</f>
        <v>290.8</v>
      </c>
      <c r="D34" s="32" t="n">
        <f aca="false">Data_Months!C9</f>
        <v>272.5</v>
      </c>
      <c r="E34" s="35" t="n">
        <f aca="false">Data_Months!D9</f>
        <v>-18.3</v>
      </c>
      <c r="F34" s="34" t="n">
        <f aca="false">Data_Months!E9</f>
        <v>-0.06292984869326</v>
      </c>
      <c r="H34" s="31" t="str">
        <f aca="false">INDEX(Data_Anomalies!$A$2:$A$81,MATCH(LARGE(Data_Anomalies!$I$2:$I$81,2),Data_Anomalies!$I$2:$I$81,0))</f>
        <v>PO-663941</v>
      </c>
      <c r="I34" s="49" t="n">
        <f aca="false">INDEX(Data_Anomalies!$B$2:$B$81,MATCH(LARGE(Data_Anomalies!$I$2:$I$81,2),Data_Anomalies!$I$2:$I$81,0))</f>
        <v>45509</v>
      </c>
      <c r="J34" s="38" t="str">
        <f aca="false">INDEX(Data_Anomalies!$D$2:$D$81,MATCH(LARGE(Data_Anomalies!$I$2:$I$81,2),Data_Anomalies!$I$2:$I$81,0))</f>
        <v>SUP-14</v>
      </c>
      <c r="K34" s="47" t="n">
        <f aca="false">LARGE(Data_Anomalies!$I$2:$I$81,2)/1000000</f>
        <v>22.13805</v>
      </c>
      <c r="L34" s="38" t="str">
        <f aca="false">INDEX(Data_Anomalies!$H$2:$H$81,MATCH(LARGE(Data_Anomalies!$I$2:$I$81,2),Data_Anomalies!$I$2:$I$81,0))</f>
        <v>Quantity anomaly</v>
      </c>
      <c r="N34" s="29" t="s">
        <v>26</v>
      </c>
      <c r="O34" s="30" t="s">
        <v>44</v>
      </c>
      <c r="P34" s="30" t="s">
        <v>18</v>
      </c>
      <c r="Q34" s="29" t="s">
        <v>45</v>
      </c>
      <c r="R34" s="29" t="s">
        <v>46</v>
      </c>
    </row>
    <row r="35" customFormat="false" ht="15" hidden="false" customHeight="false" outlineLevel="0" collapsed="false">
      <c r="B35" s="31" t="str">
        <f aca="false">Data_Months!A10</f>
        <v>Sep</v>
      </c>
      <c r="C35" s="32" t="n">
        <f aca="false">Data_Months!B10</f>
        <v>302.9</v>
      </c>
      <c r="D35" s="32" t="n">
        <f aca="false">Data_Months!C10</f>
        <v>261.1</v>
      </c>
      <c r="E35" s="35" t="n">
        <f aca="false">Data_Months!D10</f>
        <v>-41.8</v>
      </c>
      <c r="F35" s="34" t="n">
        <f aca="false">Data_Months!E10</f>
        <v>-0.137999339716078</v>
      </c>
      <c r="H35" s="31" t="str">
        <f aca="false">INDEX(Data_Anomalies!$A$2:$A$81,MATCH(LARGE(Data_Anomalies!$I$2:$I$81,3),Data_Anomalies!$I$2:$I$81,0))</f>
        <v>PO-417578</v>
      </c>
      <c r="I35" s="49" t="n">
        <f aca="false">INDEX(Data_Anomalies!$B$2:$B$81,MATCH(LARGE(Data_Anomalies!$I$2:$I$81,3),Data_Anomalies!$I$2:$I$81,0))</f>
        <v>45738</v>
      </c>
      <c r="J35" s="38" t="str">
        <f aca="false">INDEX(Data_Anomalies!$D$2:$D$81,MATCH(LARGE(Data_Anomalies!$I$2:$I$81,3),Data_Anomalies!$I$2:$I$81,0))</f>
        <v>SUP-30</v>
      </c>
      <c r="K35" s="47" t="n">
        <f aca="false">LARGE(Data_Anomalies!$I$2:$I$81,3)/1000000</f>
        <v>17.329718</v>
      </c>
      <c r="L35" s="38" t="str">
        <f aca="false">INDEX(Data_Anomalies!$H$2:$H$81,MATCH(LARGE(Data_Anomalies!$I$2:$I$81,3),Data_Anomalies!$I$2:$I$81,0))</f>
        <v>Quantity anomaly</v>
      </c>
      <c r="N35" s="31" t="str">
        <f aca="false">INDEX(Data_Suppliers!$A$2:$A$51,MATCH(LARGE(Data_Suppliers!$G$2:$G$51,1),Data_Suppliers!$G$2:$G$51,0))</f>
        <v>SUP-46</v>
      </c>
      <c r="O35" s="36" t="n">
        <f aca="false">INDEX(Data_Suppliers!$F$2:$F$51,MATCH(LARGE(Data_Suppliers!$G$2:$G$51,1),Data_Suppliers!$G$2:$G$51,0))</f>
        <v>2</v>
      </c>
      <c r="P35" s="32" t="n">
        <f aca="false">LARGE(Data_Suppliers!$G$2:$G$51,1)/1000000</f>
        <v>38.21783914</v>
      </c>
      <c r="Q35" s="38" t="str">
        <f aca="false">INDEX(Data_Suppliers!$P$2:$P$51,MATCH(LARGE(Data_Suppliers!$G$2:$G$51,1),Data_Suppliers!$G$2:$G$51,0))</f>
        <v>IT Hardware</v>
      </c>
      <c r="R35" s="38" t="str">
        <f aca="false">INDEX(Data_Suppliers!$H$2:$H$51,MATCH(LARGE(Data_Suppliers!$G$2:$G$51,1),Data_Suppliers!$G$2:$G$51,0))</f>
        <v>ELEVATED</v>
      </c>
    </row>
    <row r="36" customFormat="false" ht="15" hidden="false" customHeight="false" outlineLevel="0" collapsed="false">
      <c r="B36" s="31" t="str">
        <f aca="false">Data_Months!A11</f>
        <v>Oct</v>
      </c>
      <c r="C36" s="32" t="n">
        <f aca="false">Data_Months!B11</f>
        <v>264.2</v>
      </c>
      <c r="D36" s="32" t="n">
        <f aca="false">Data_Months!C11</f>
        <v>270.2</v>
      </c>
      <c r="E36" s="35" t="n">
        <f aca="false">Data_Months!D11</f>
        <v>6</v>
      </c>
      <c r="F36" s="34" t="n">
        <f aca="false">Data_Months!E11</f>
        <v>0.0227100681302044</v>
      </c>
      <c r="H36" s="31" t="str">
        <f aca="false">INDEX(Data_Anomalies!$A$2:$A$81,MATCH(LARGE(Data_Anomalies!$I$2:$I$81,4),Data_Anomalies!$I$2:$I$81,0))</f>
        <v>PO-393878</v>
      </c>
      <c r="I36" s="49" t="n">
        <f aca="false">INDEX(Data_Anomalies!$B$2:$B$81,MATCH(LARGE(Data_Anomalies!$I$2:$I$81,4),Data_Anomalies!$I$2:$I$81,0))</f>
        <v>45993</v>
      </c>
      <c r="J36" s="38" t="str">
        <f aca="false">INDEX(Data_Anomalies!$D$2:$D$81,MATCH(LARGE(Data_Anomalies!$I$2:$I$81,4),Data_Anomalies!$I$2:$I$81,0))</f>
        <v>SUP-12</v>
      </c>
      <c r="K36" s="47" t="n">
        <f aca="false">LARGE(Data_Anomalies!$I$2:$I$81,4)/1000000</f>
        <v>13.78269</v>
      </c>
      <c r="L36" s="38" t="str">
        <f aca="false">INDEX(Data_Anomalies!$H$2:$H$81,MATCH(LARGE(Data_Anomalies!$I$2:$I$81,4),Data_Anomalies!$I$2:$I$81,0))</f>
        <v>Quantity anomaly</v>
      </c>
      <c r="N36" s="31" t="str">
        <f aca="false">INDEX(Data_Suppliers!$A$2:$A$51,MATCH(LARGE(Data_Suppliers!$G$2:$G$51,2),Data_Suppliers!$G$2:$G$51,0))</f>
        <v>SUP-12</v>
      </c>
      <c r="O36" s="36" t="n">
        <f aca="false">INDEX(Data_Suppliers!$F$2:$F$51,MATCH(LARGE(Data_Suppliers!$G$2:$G$51,2),Data_Suppliers!$G$2:$G$51,0))</f>
        <v>6</v>
      </c>
      <c r="P36" s="32" t="n">
        <f aca="false">LARGE(Data_Suppliers!$G$2:$G$51,2)/1000000</f>
        <v>29.14607922</v>
      </c>
      <c r="Q36" s="38" t="str">
        <f aca="false">INDEX(Data_Suppliers!$P$2:$P$51,MATCH(LARGE(Data_Suppliers!$G$2:$G$51,2),Data_Suppliers!$G$2:$G$51,0))</f>
        <v>IT Hardware</v>
      </c>
      <c r="R36" s="38" t="str">
        <f aca="false">INDEX(Data_Suppliers!$H$2:$H$51,MATCH(LARGE(Data_Suppliers!$G$2:$G$51,2),Data_Suppliers!$G$2:$G$51,0))</f>
        <v>HIGH</v>
      </c>
    </row>
    <row r="37" customFormat="false" ht="15" hidden="false" customHeight="false" outlineLevel="0" collapsed="false">
      <c r="B37" s="31" t="str">
        <f aca="false">Data_Months!A12</f>
        <v>Nov</v>
      </c>
      <c r="C37" s="32" t="n">
        <f aca="false">Data_Months!B12</f>
        <v>255.9</v>
      </c>
      <c r="D37" s="32" t="n">
        <f aca="false">Data_Months!C12</f>
        <v>261.9</v>
      </c>
      <c r="E37" s="35" t="n">
        <f aca="false">Data_Months!D12</f>
        <v>5.99999999999997</v>
      </c>
      <c r="F37" s="34" t="n">
        <f aca="false">Data_Months!E12</f>
        <v>0.0234466588511135</v>
      </c>
      <c r="H37" s="31" t="str">
        <f aca="false">INDEX(Data_Anomalies!$A$2:$A$81,MATCH(LARGE(Data_Anomalies!$I$2:$I$81,5),Data_Anomalies!$I$2:$I$81,0))</f>
        <v>PO-474907</v>
      </c>
      <c r="I37" s="49" t="n">
        <f aca="false">INDEX(Data_Anomalies!$B$2:$B$81,MATCH(LARGE(Data_Anomalies!$I$2:$I$81,5),Data_Anomalies!$I$2:$I$81,0))</f>
        <v>45874</v>
      </c>
      <c r="J37" s="38" t="str">
        <f aca="false">INDEX(Data_Anomalies!$D$2:$D$81,MATCH(LARGE(Data_Anomalies!$I$2:$I$81,5),Data_Anomalies!$I$2:$I$81,0))</f>
        <v>SUP-12</v>
      </c>
      <c r="K37" s="47" t="n">
        <f aca="false">LARGE(Data_Anomalies!$I$2:$I$81,5)/1000000</f>
        <v>10.47301</v>
      </c>
      <c r="L37" s="38" t="str">
        <f aca="false">INDEX(Data_Anomalies!$H$2:$H$81,MATCH(LARGE(Data_Anomalies!$I$2:$I$81,5),Data_Anomalies!$I$2:$I$81,0))</f>
        <v>Quantity anomaly</v>
      </c>
      <c r="N37" s="31" t="str">
        <f aca="false">INDEX(Data_Suppliers!$A$2:$A$51,MATCH(LARGE(Data_Suppliers!$G$2:$G$51,3),Data_Suppliers!$G$2:$G$51,0))</f>
        <v>SUP-14</v>
      </c>
      <c r="O37" s="36" t="n">
        <f aca="false">INDEX(Data_Suppliers!$F$2:$F$51,MATCH(LARGE(Data_Suppliers!$G$2:$G$51,3),Data_Suppliers!$G$2:$G$51,0))</f>
        <v>3</v>
      </c>
      <c r="P37" s="32" t="n">
        <f aca="false">LARGE(Data_Suppliers!$G$2:$G$51,3)/1000000</f>
        <v>27.10715</v>
      </c>
      <c r="Q37" s="38" t="str">
        <f aca="false">INDEX(Data_Suppliers!$P$2:$P$51,MATCH(LARGE(Data_Suppliers!$G$2:$G$51,3),Data_Suppliers!$G$2:$G$51,0))</f>
        <v>IT Hardware</v>
      </c>
      <c r="R37" s="38" t="str">
        <f aca="false">INDEX(Data_Suppliers!$H$2:$H$51,MATCH(LARGE(Data_Suppliers!$G$2:$G$51,3),Data_Suppliers!$G$2:$G$51,0))</f>
        <v>ELEVATED</v>
      </c>
    </row>
    <row r="38" customFormat="false" ht="15" hidden="false" customHeight="false" outlineLevel="0" collapsed="false">
      <c r="B38" s="31" t="str">
        <f aca="false">Data_Months!A13</f>
        <v>Dec</v>
      </c>
      <c r="C38" s="32" t="n">
        <f aca="false">Data_Months!B13</f>
        <v>257.2</v>
      </c>
      <c r="D38" s="32" t="n">
        <f aca="false">Data_Months!C13</f>
        <v>255.9</v>
      </c>
      <c r="E38" s="35" t="n">
        <f aca="false">Data_Months!D13</f>
        <v>-1.29999999999998</v>
      </c>
      <c r="F38" s="34" t="n">
        <f aca="false">Data_Months!E13</f>
        <v>-0.005054432348367</v>
      </c>
      <c r="N38" s="31" t="str">
        <f aca="false">INDEX(Data_Suppliers!$A$2:$A$51,MATCH(LARGE(Data_Suppliers!$G$2:$G$51,4),Data_Suppliers!$G$2:$G$51,0))</f>
        <v>SUP-30</v>
      </c>
      <c r="O38" s="36" t="n">
        <f aca="false">INDEX(Data_Suppliers!$F$2:$F$51,MATCH(LARGE(Data_Suppliers!$G$2:$G$51,4),Data_Suppliers!$G$2:$G$51,0))</f>
        <v>3</v>
      </c>
      <c r="P38" s="32" t="n">
        <f aca="false">LARGE(Data_Suppliers!$G$2:$G$51,4)/1000000</f>
        <v>19.46735587</v>
      </c>
      <c r="Q38" s="38" t="str">
        <f aca="false">INDEX(Data_Suppliers!$P$2:$P$51,MATCH(LARGE(Data_Suppliers!$G$2:$G$51,4),Data_Suppliers!$G$2:$G$51,0))</f>
        <v>IT Hardware</v>
      </c>
      <c r="R38" s="38" t="str">
        <f aca="false">INDEX(Data_Suppliers!$H$2:$H$51,MATCH(LARGE(Data_Suppliers!$G$2:$G$51,4),Data_Suppliers!$G$2:$G$51,0))</f>
        <v>ELEVATED</v>
      </c>
    </row>
    <row r="39" customFormat="false" ht="15" hidden="false" customHeight="false" outlineLevel="0" collapsed="false">
      <c r="B39" s="39" t="s">
        <v>30</v>
      </c>
      <c r="C39" s="41" t="n">
        <f aca="false">SUM(C27:C38)</f>
        <v>3149.9</v>
      </c>
      <c r="D39" s="41" t="n">
        <f aca="false">SUM(D27:D38)</f>
        <v>3145.3</v>
      </c>
      <c r="E39" s="46" t="n">
        <f aca="false">D39-C39</f>
        <v>-4.59999999999945</v>
      </c>
      <c r="F39" s="45" t="n">
        <f aca="false">D39/C39-1</f>
        <v>-0.00146036382107351</v>
      </c>
      <c r="H39" s="23" t="s">
        <v>47</v>
      </c>
      <c r="I39" s="23"/>
      <c r="J39" s="23"/>
      <c r="K39" s="23"/>
      <c r="L39" s="23"/>
      <c r="N39" s="31" t="str">
        <f aca="false">INDEX(Data_Suppliers!$A$2:$A$51,MATCH(LARGE(Data_Suppliers!$G$2:$G$51,5),Data_Suppliers!$G$2:$G$51,0))</f>
        <v>SUP-33</v>
      </c>
      <c r="O39" s="36" t="n">
        <f aca="false">INDEX(Data_Suppliers!$F$2:$F$51,MATCH(LARGE(Data_Suppliers!$G$2:$G$51,5),Data_Suppliers!$G$2:$G$51,0))</f>
        <v>1</v>
      </c>
      <c r="P39" s="32" t="n">
        <f aca="false">LARGE(Data_Suppliers!$G$2:$G$51,5)/1000000</f>
        <v>10.014222</v>
      </c>
      <c r="Q39" s="38" t="str">
        <f aca="false">INDEX(Data_Suppliers!$P$2:$P$51,MATCH(LARGE(Data_Suppliers!$G$2:$G$51,5),Data_Suppliers!$G$2:$G$51,0))</f>
        <v>Marketing Services</v>
      </c>
      <c r="R39" s="38" t="str">
        <f aca="false">INDEX(Data_Suppliers!$H$2:$H$51,MATCH(LARGE(Data_Suppliers!$G$2:$G$51,5),Data_Suppliers!$G$2:$G$51,0))</f>
        <v>LOW</v>
      </c>
    </row>
    <row r="40" customFormat="false" ht="15" hidden="false" customHeight="false" outlineLevel="0" collapsed="false">
      <c r="H40" s="27" t="s">
        <v>48</v>
      </c>
      <c r="I40" s="28" t="s">
        <v>44</v>
      </c>
      <c r="J40" s="28" t="s">
        <v>18</v>
      </c>
      <c r="K40" s="28" t="s">
        <v>49</v>
      </c>
      <c r="L40" s="27" t="s">
        <v>50</v>
      </c>
      <c r="N40" s="31" t="str">
        <f aca="false">INDEX(Data_Suppliers!$A$2:$A$51,MATCH(LARGE(Data_Suppliers!$G$2:$G$51,6),Data_Suppliers!$G$2:$G$51,0))</f>
        <v>SUP-01</v>
      </c>
      <c r="O40" s="36" t="n">
        <f aca="false">INDEX(Data_Suppliers!$F$2:$F$51,MATCH(LARGE(Data_Suppliers!$G$2:$G$51,6),Data_Suppliers!$G$2:$G$51,0))</f>
        <v>5</v>
      </c>
      <c r="P40" s="32" t="n">
        <f aca="false">LARGE(Data_Suppliers!$G$2:$G$51,6)/1000000</f>
        <v>8.20915676</v>
      </c>
      <c r="Q40" s="38" t="str">
        <f aca="false">INDEX(Data_Suppliers!$P$2:$P$51,MATCH(LARGE(Data_Suppliers!$G$2:$G$51,6),Data_Suppliers!$G$2:$G$51,0))</f>
        <v>Marketing Services</v>
      </c>
      <c r="R40" s="38" t="str">
        <f aca="false">INDEX(Data_Suppliers!$H$2:$H$51,MATCH(LARGE(Data_Suppliers!$G$2:$G$51,6),Data_Suppliers!$G$2:$G$51,0))</f>
        <v>HIGH</v>
      </c>
    </row>
    <row r="41" customFormat="false" ht="15" hidden="false" customHeight="false" outlineLevel="0" collapsed="false">
      <c r="B41" s="22" t="s">
        <v>51</v>
      </c>
      <c r="C41" s="22"/>
      <c r="D41" s="22"/>
      <c r="E41" s="22"/>
      <c r="F41" s="22"/>
      <c r="H41" s="31" t="str">
        <f aca="false">INDEX(Data_Buyers!$A$2:$A$11,MATCH(LARGE(Data_Buyers!$F$2:$F$11,1),Data_Buyers!$F$2:$F$11,0))</f>
        <v>BUYER-06</v>
      </c>
      <c r="I41" s="36" t="n">
        <f aca="false">INDEX(Data_Buyers!$E$2:$E$11,MATCH(LARGE(Data_Buyers!$F$2:$F$11,1),Data_Buyers!$F$2:$F$11,0))</f>
        <v>8</v>
      </c>
      <c r="J41" s="32" t="n">
        <f aca="false">LARGE(Data_Buyers!$F$2:$F$11,1)/1000000</f>
        <v>47.40953916</v>
      </c>
      <c r="K41" s="33" t="n">
        <f aca="false">INDEX(Data_Buyers!$G$2:$G$11,MATCH(LARGE(Data_Buyers!$F$2:$F$11,1),Data_Buyers!$F$2:$F$11,0))</f>
        <v>0.246403378789982</v>
      </c>
      <c r="L41" s="38" t="str">
        <f aca="false">INDEX(Data_Buyers!$H$2:$H$11,MATCH(LARGE(Data_Buyers!$F$2:$F$11,1),Data_Buyers!$F$2:$F$11,0))</f>
        <v>HIGH</v>
      </c>
      <c r="N41" s="31" t="str">
        <f aca="false">INDEX(Data_Suppliers!$A$2:$A$51,MATCH(LARGE(Data_Suppliers!$G$2:$G$51,7),Data_Suppliers!$G$2:$G$51,0))</f>
        <v>SUP-22</v>
      </c>
      <c r="O41" s="36" t="n">
        <f aca="false">INDEX(Data_Suppliers!$F$2:$F$51,MATCH(LARGE(Data_Suppliers!$G$2:$G$51,7),Data_Suppliers!$G$2:$G$51,0))</f>
        <v>1</v>
      </c>
      <c r="P41" s="32" t="n">
        <f aca="false">LARGE(Data_Suppliers!$G$2:$G$51,7)/1000000</f>
        <v>8.012495</v>
      </c>
      <c r="Q41" s="38" t="str">
        <f aca="false">INDEX(Data_Suppliers!$P$2:$P$51,MATCH(LARGE(Data_Suppliers!$G$2:$G$51,7),Data_Suppliers!$G$2:$G$51,0))</f>
        <v>Marketing Services</v>
      </c>
      <c r="R41" s="38" t="str">
        <f aca="false">INDEX(Data_Suppliers!$H$2:$H$51,MATCH(LARGE(Data_Suppliers!$G$2:$G$51,7),Data_Suppliers!$G$2:$G$51,0))</f>
        <v>LOW</v>
      </c>
    </row>
    <row r="42" customFormat="false" ht="15" hidden="false" customHeight="false" outlineLevel="0" collapsed="false">
      <c r="H42" s="31" t="str">
        <f aca="false">INDEX(Data_Buyers!$A$2:$A$11,MATCH(LARGE(Data_Buyers!$F$2:$F$11,2),Data_Buyers!$F$2:$F$11,0))</f>
        <v>BUYER-02</v>
      </c>
      <c r="I42" s="36" t="n">
        <f aca="false">INDEX(Data_Buyers!$E$2:$E$11,MATCH(LARGE(Data_Buyers!$F$2:$F$11,2),Data_Buyers!$F$2:$F$11,0))</f>
        <v>8</v>
      </c>
      <c r="J42" s="32" t="n">
        <f aca="false">LARGE(Data_Buyers!$F$2:$F$11,2)/1000000</f>
        <v>38.96794135</v>
      </c>
      <c r="K42" s="33" t="n">
        <f aca="false">INDEX(Data_Buyers!$G$2:$G$11,MATCH(LARGE(Data_Buyers!$F$2:$F$11,2),Data_Buyers!$F$2:$F$11,0))</f>
        <v>0.20252954538801</v>
      </c>
      <c r="L42" s="38" t="str">
        <f aca="false">INDEX(Data_Buyers!$H$2:$H$11,MATCH(LARGE(Data_Buyers!$F$2:$F$11,2),Data_Buyers!$F$2:$F$11,0))</f>
        <v>HIGH</v>
      </c>
      <c r="N42" s="31" t="str">
        <f aca="false">INDEX(Data_Suppliers!$A$2:$A$51,MATCH(LARGE(Data_Suppliers!$G$2:$G$51,8),Data_Suppliers!$G$2:$G$51,0))</f>
        <v>SUP-43</v>
      </c>
      <c r="O42" s="36" t="n">
        <f aca="false">INDEX(Data_Suppliers!$F$2:$F$51,MATCH(LARGE(Data_Suppliers!$G$2:$G$51,8),Data_Suppliers!$G$2:$G$51,0))</f>
        <v>3</v>
      </c>
      <c r="P42" s="32" t="n">
        <f aca="false">LARGE(Data_Suppliers!$G$2:$G$51,8)/1000000</f>
        <v>7.21584625</v>
      </c>
      <c r="Q42" s="38" t="str">
        <f aca="false">INDEX(Data_Suppliers!$P$2:$P$51,MATCH(LARGE(Data_Suppliers!$G$2:$G$51,8),Data_Suppliers!$G$2:$G$51,0))</f>
        <v>Marketing Services</v>
      </c>
      <c r="R42" s="38" t="str">
        <f aca="false">INDEX(Data_Suppliers!$H$2:$H$51,MATCH(LARGE(Data_Suppliers!$G$2:$G$51,8),Data_Suppliers!$G$2:$G$51,0))</f>
        <v>ELEVATED</v>
      </c>
    </row>
    <row r="43" customFormat="false" ht="15" hidden="false" customHeight="false" outlineLevel="0" collapsed="false">
      <c r="H43" s="31" t="str">
        <f aca="false">INDEX(Data_Buyers!$A$2:$A$11,MATCH(LARGE(Data_Buyers!$F$2:$F$11,3),Data_Buyers!$F$2:$F$11,0))</f>
        <v>BUYER-09</v>
      </c>
      <c r="I43" s="36" t="n">
        <f aca="false">INDEX(Data_Buyers!$E$2:$E$11,MATCH(LARGE(Data_Buyers!$F$2:$F$11,3),Data_Buyers!$F$2:$F$11,0))</f>
        <v>10</v>
      </c>
      <c r="J43" s="32" t="n">
        <f aca="false">LARGE(Data_Buyers!$F$2:$F$11,3)/1000000</f>
        <v>37.4373447</v>
      </c>
      <c r="K43" s="33" t="n">
        <f aca="false">INDEX(Data_Buyers!$G$2:$G$11,MATCH(LARGE(Data_Buyers!$F$2:$F$11,3),Data_Buyers!$F$2:$F$11,0))</f>
        <v>0.194574517922929</v>
      </c>
      <c r="L43" s="38" t="str">
        <f aca="false">INDEX(Data_Buyers!$H$2:$H$11,MATCH(LARGE(Data_Buyers!$F$2:$F$11,3),Data_Buyers!$F$2:$F$11,0))</f>
        <v>HIGH</v>
      </c>
    </row>
    <row r="44" customFormat="false" ht="15" hidden="false" customHeight="false" outlineLevel="0" collapsed="false">
      <c r="H44" s="31" t="str">
        <f aca="false">INDEX(Data_Buyers!$A$2:$A$11,MATCH(LARGE(Data_Buyers!$F$2:$F$11,4),Data_Buyers!$F$2:$F$11,0))</f>
        <v>BUYER-05</v>
      </c>
      <c r="I44" s="36" t="n">
        <f aca="false">INDEX(Data_Buyers!$E$2:$E$11,MATCH(LARGE(Data_Buyers!$F$2:$F$11,4),Data_Buyers!$F$2:$F$11,0))</f>
        <v>7</v>
      </c>
      <c r="J44" s="32" t="n">
        <f aca="false">LARGE(Data_Buyers!$F$2:$F$11,4)/1000000</f>
        <v>18.6299543</v>
      </c>
      <c r="K44" s="33" t="n">
        <f aca="false">INDEX(Data_Buyers!$G$2:$G$11,MATCH(LARGE(Data_Buyers!$F$2:$F$11,4),Data_Buyers!$F$2:$F$11,0))</f>
        <v>0.096826161307554</v>
      </c>
      <c r="L44" s="38" t="str">
        <f aca="false">INDEX(Data_Buyers!$H$2:$H$11,MATCH(LARGE(Data_Buyers!$F$2:$F$11,4),Data_Buyers!$F$2:$F$11,0))</f>
        <v>MEDIUM</v>
      </c>
      <c r="N44" s="24" t="s">
        <v>52</v>
      </c>
      <c r="O44" s="24"/>
      <c r="P44" s="24"/>
      <c r="Q44" s="24"/>
      <c r="R44" s="24"/>
    </row>
    <row r="45" customFormat="false" ht="15" hidden="false" customHeight="false" outlineLevel="0" collapsed="false">
      <c r="H45" s="31" t="str">
        <f aca="false">INDEX(Data_Buyers!$A$2:$A$11,MATCH(LARGE(Data_Buyers!$F$2:$F$11,5),Data_Buyers!$F$2:$F$11,0))</f>
        <v>BUYER-08</v>
      </c>
      <c r="I45" s="36" t="n">
        <f aca="false">INDEX(Data_Buyers!$E$2:$E$11,MATCH(LARGE(Data_Buyers!$F$2:$F$11,5),Data_Buyers!$F$2:$F$11,0))</f>
        <v>10</v>
      </c>
      <c r="J45" s="32" t="n">
        <f aca="false">LARGE(Data_Buyers!$F$2:$F$11,5)/1000000</f>
        <v>16.35961671</v>
      </c>
      <c r="K45" s="33" t="n">
        <f aca="false">INDEX(Data_Buyers!$G$2:$G$11,MATCH(LARGE(Data_Buyers!$F$2:$F$11,5),Data_Buyers!$F$2:$F$11,0))</f>
        <v>0.0850264504670425</v>
      </c>
      <c r="L45" s="38" t="str">
        <f aca="false">INDEX(Data_Buyers!$H$2:$H$11,MATCH(LARGE(Data_Buyers!$F$2:$F$11,5),Data_Buyers!$F$2:$F$11,0))</f>
        <v>HIGH</v>
      </c>
      <c r="N45" s="29" t="s">
        <v>48</v>
      </c>
      <c r="O45" s="30" t="s">
        <v>18</v>
      </c>
      <c r="P45" s="30" t="s">
        <v>23</v>
      </c>
      <c r="Q45" s="30" t="s">
        <v>53</v>
      </c>
      <c r="R45" s="30" t="s">
        <v>27</v>
      </c>
    </row>
    <row r="46" customFormat="false" ht="15" hidden="false" customHeight="false" outlineLevel="0" collapsed="false">
      <c r="H46" s="31" t="str">
        <f aca="false">INDEX(Data_Buyers!$A$2:$A$11,MATCH(LARGE(Data_Buyers!$F$2:$F$11,6),Data_Buyers!$F$2:$F$11,0))</f>
        <v>BUYER-03</v>
      </c>
      <c r="I46" s="36" t="n">
        <f aca="false">INDEX(Data_Buyers!$E$2:$E$11,MATCH(LARGE(Data_Buyers!$F$2:$F$11,6),Data_Buyers!$F$2:$F$11,0))</f>
        <v>8</v>
      </c>
      <c r="J46" s="32" t="n">
        <f aca="false">LARGE(Data_Buyers!$F$2:$F$11,6)/1000000</f>
        <v>13.5849687</v>
      </c>
      <c r="K46" s="33" t="n">
        <f aca="false">INDEX(Data_Buyers!$G$2:$G$11,MATCH(LARGE(Data_Buyers!$F$2:$F$11,6),Data_Buyers!$F$2:$F$11,0))</f>
        <v>0.0706056681365167</v>
      </c>
      <c r="L46" s="38" t="str">
        <f aca="false">INDEX(Data_Buyers!$H$2:$H$11,MATCH(LARGE(Data_Buyers!$F$2:$F$11,6),Data_Buyers!$F$2:$F$11,0))</f>
        <v>HIGH</v>
      </c>
      <c r="N46" s="31" t="str">
        <f aca="false">INDEX(Data_Buyers!$A$2:$A$11,MATCH(LARGE(Data_Buyers!$B$2:$B$11,1),Data_Buyers!$B$2:$B$11,0))</f>
        <v>BUYER-09</v>
      </c>
      <c r="O46" s="32" t="n">
        <f aca="false">LARGE(Data_Buyers!$B$2:$B$11,1)</f>
        <v>655</v>
      </c>
      <c r="P46" s="36" t="n">
        <f aca="false">INDEX(Data_Buyers!$C$2:$C$11,MATCH(LARGE(Data_Buyers!$B$2:$B$11,1),Data_Buyers!$B$2:$B$11,0))</f>
        <v>9887</v>
      </c>
      <c r="Q46" s="36" t="n">
        <f aca="false">INDEX(Data_Buyers!$D$2:$D$11,MATCH(LARGE(Data_Buyers!$B$2:$B$11,1),Data_Buyers!$B$2:$B$11,0))</f>
        <v>66248.6092849196</v>
      </c>
      <c r="R46" s="36" t="n">
        <f aca="false">INDEX(Data_Buyers!$E$2:$E$11,MATCH(LARGE(Data_Buyers!$B$2:$B$11,1),Data_Buyers!$B$2:$B$11,0))</f>
        <v>10</v>
      </c>
    </row>
    <row r="47" customFormat="false" ht="15" hidden="false" customHeight="false" outlineLevel="0" collapsed="false">
      <c r="H47" s="31" t="str">
        <f aca="false">INDEX(Data_Buyers!$A$2:$A$11,MATCH(LARGE(Data_Buyers!$F$2:$F$11,7),Data_Buyers!$F$2:$F$11,0))</f>
        <v>BUYER-10</v>
      </c>
      <c r="I47" s="36" t="n">
        <f aca="false">INDEX(Data_Buyers!$E$2:$E$11,MATCH(LARGE(Data_Buyers!$F$2:$F$11,7),Data_Buyers!$F$2:$F$11,0))</f>
        <v>8</v>
      </c>
      <c r="J47" s="32" t="n">
        <f aca="false">LARGE(Data_Buyers!$F$2:$F$11,7)/1000000</f>
        <v>8.42928129</v>
      </c>
      <c r="K47" s="33" t="n">
        <f aca="false">INDEX(Data_Buyers!$G$2:$G$11,MATCH(LARGE(Data_Buyers!$F$2:$F$11,7),Data_Buyers!$F$2:$F$11,0))</f>
        <v>0.0438098202899127</v>
      </c>
      <c r="L47" s="38" t="str">
        <f aca="false">INDEX(Data_Buyers!$H$2:$H$11,MATCH(LARGE(Data_Buyers!$F$2:$F$11,7),Data_Buyers!$F$2:$F$11,0))</f>
        <v>HIGH</v>
      </c>
      <c r="N47" s="31" t="str">
        <f aca="false">INDEX(Data_Buyers!$A$2:$A$11,MATCH(LARGE(Data_Buyers!$B$2:$B$11,2),Data_Buyers!$B$2:$B$11,0))</f>
        <v>BUYER-06</v>
      </c>
      <c r="O47" s="32" t="n">
        <f aca="false">LARGE(Data_Buyers!$B$2:$B$11,2)</f>
        <v>653.7</v>
      </c>
      <c r="P47" s="36" t="n">
        <f aca="false">INDEX(Data_Buyers!$C$2:$C$11,MATCH(LARGE(Data_Buyers!$B$2:$B$11,2),Data_Buyers!$B$2:$B$11,0))</f>
        <v>10025</v>
      </c>
      <c r="Q47" s="36" t="n">
        <f aca="false">INDEX(Data_Buyers!$D$2:$D$11,MATCH(LARGE(Data_Buyers!$B$2:$B$11,2),Data_Buyers!$B$2:$B$11,0))</f>
        <v>65206.9825436409</v>
      </c>
      <c r="R47" s="36" t="n">
        <f aca="false">INDEX(Data_Buyers!$E$2:$E$11,MATCH(LARGE(Data_Buyers!$B$2:$B$11,2),Data_Buyers!$B$2:$B$11,0))</f>
        <v>8</v>
      </c>
    </row>
    <row r="48" customFormat="false" ht="15" hidden="false" customHeight="false" outlineLevel="0" collapsed="false">
      <c r="H48" s="31" t="str">
        <f aca="false">INDEX(Data_Buyers!$A$2:$A$11,MATCH(LARGE(Data_Buyers!$F$2:$F$11,8),Data_Buyers!$F$2:$F$11,0))</f>
        <v>BUYER-04</v>
      </c>
      <c r="I48" s="36" t="n">
        <f aca="false">INDEX(Data_Buyers!$E$2:$E$11,MATCH(LARGE(Data_Buyers!$F$2:$F$11,8),Data_Buyers!$F$2:$F$11,0))</f>
        <v>9</v>
      </c>
      <c r="J48" s="32" t="n">
        <f aca="false">LARGE(Data_Buyers!$F$2:$F$11,8)/1000000</f>
        <v>5.63045176</v>
      </c>
      <c r="K48" s="33" t="n">
        <f aca="false">INDEX(Data_Buyers!$G$2:$G$11,MATCH(LARGE(Data_Buyers!$F$2:$F$11,8),Data_Buyers!$F$2:$F$11,0))</f>
        <v>0.0292633584371252</v>
      </c>
      <c r="L48" s="38" t="str">
        <f aca="false">INDEX(Data_Buyers!$H$2:$H$11,MATCH(LARGE(Data_Buyers!$F$2:$F$11,8),Data_Buyers!$F$2:$F$11,0))</f>
        <v>HIGH</v>
      </c>
      <c r="N48" s="31" t="str">
        <f aca="false">INDEX(Data_Buyers!$A$2:$A$11,MATCH(LARGE(Data_Buyers!$B$2:$B$11,3),Data_Buyers!$B$2:$B$11,0))</f>
        <v>BUYER-02</v>
      </c>
      <c r="O48" s="32" t="n">
        <f aca="false">LARGE(Data_Buyers!$B$2:$B$11,3)</f>
        <v>645.6</v>
      </c>
      <c r="P48" s="36" t="n">
        <f aca="false">INDEX(Data_Buyers!$C$2:$C$11,MATCH(LARGE(Data_Buyers!$B$2:$B$11,3),Data_Buyers!$B$2:$B$11,0))</f>
        <v>10015</v>
      </c>
      <c r="Q48" s="36" t="n">
        <f aca="false">INDEX(Data_Buyers!$D$2:$D$11,MATCH(LARGE(Data_Buyers!$B$2:$B$11,3),Data_Buyers!$B$2:$B$11,0))</f>
        <v>64463.3050424364</v>
      </c>
      <c r="R48" s="36" t="n">
        <f aca="false">INDEX(Data_Buyers!$E$2:$E$11,MATCH(LARGE(Data_Buyers!$B$2:$B$11,3),Data_Buyers!$B$2:$B$11,0))</f>
        <v>8</v>
      </c>
    </row>
    <row r="49" customFormat="false" ht="15" hidden="false" customHeight="false" outlineLevel="0" collapsed="false">
      <c r="H49" s="31" t="str">
        <f aca="false">INDEX(Data_Buyers!$A$2:$A$11,MATCH(LARGE(Data_Buyers!$F$2:$F$11,9),Data_Buyers!$F$2:$F$11,0))</f>
        <v>BUYER-07</v>
      </c>
      <c r="I49" s="36" t="n">
        <f aca="false">INDEX(Data_Buyers!$E$2:$E$11,MATCH(LARGE(Data_Buyers!$F$2:$F$11,9),Data_Buyers!$F$2:$F$11,0))</f>
        <v>8</v>
      </c>
      <c r="J49" s="32" t="n">
        <f aca="false">LARGE(Data_Buyers!$F$2:$F$11,9)/1000000</f>
        <v>5.17446453</v>
      </c>
      <c r="K49" s="33" t="n">
        <f aca="false">INDEX(Data_Buyers!$G$2:$G$11,MATCH(LARGE(Data_Buyers!$F$2:$F$11,9),Data_Buyers!$F$2:$F$11,0))</f>
        <v>0.0268934388777323</v>
      </c>
      <c r="L49" s="38" t="str">
        <f aca="false">INDEX(Data_Buyers!$H$2:$H$11,MATCH(LARGE(Data_Buyers!$F$2:$F$11,9),Data_Buyers!$F$2:$F$11,0))</f>
        <v>HIGH</v>
      </c>
      <c r="N49" s="31" t="str">
        <f aca="false">INDEX(Data_Buyers!$A$2:$A$11,MATCH(LARGE(Data_Buyers!$B$2:$B$11,4),Data_Buyers!$B$2:$B$11,0))</f>
        <v>BUYER-10</v>
      </c>
      <c r="O49" s="32" t="n">
        <f aca="false">LARGE(Data_Buyers!$B$2:$B$11,4)</f>
        <v>636.6</v>
      </c>
      <c r="P49" s="36" t="n">
        <f aca="false">INDEX(Data_Buyers!$C$2:$C$11,MATCH(LARGE(Data_Buyers!$B$2:$B$11,4),Data_Buyers!$B$2:$B$11,0))</f>
        <v>10062</v>
      </c>
      <c r="Q49" s="36" t="n">
        <f aca="false">INDEX(Data_Buyers!$D$2:$D$11,MATCH(LARGE(Data_Buyers!$B$2:$B$11,4),Data_Buyers!$B$2:$B$11,0))</f>
        <v>63267.7400119261</v>
      </c>
      <c r="R49" s="36" t="n">
        <f aca="false">INDEX(Data_Buyers!$E$2:$E$11,MATCH(LARGE(Data_Buyers!$B$2:$B$11,4),Data_Buyers!$B$2:$B$11,0))</f>
        <v>8</v>
      </c>
    </row>
    <row r="50" customFormat="false" ht="15" hidden="false" customHeight="false" outlineLevel="0" collapsed="false">
      <c r="H50" s="31" t="str">
        <f aca="false">INDEX(Data_Buyers!$A$2:$A$11,MATCH(LARGE(Data_Buyers!$F$2:$F$11,10),Data_Buyers!$F$2:$F$11,0))</f>
        <v>BUYER-01</v>
      </c>
      <c r="I50" s="36" t="n">
        <f aca="false">INDEX(Data_Buyers!$E$2:$E$11,MATCH(LARGE(Data_Buyers!$F$2:$F$11,10),Data_Buyers!$F$2:$F$11,0))</f>
        <v>4</v>
      </c>
      <c r="J50" s="32" t="n">
        <f aca="false">LARGE(Data_Buyers!$F$2:$F$11,10)/1000000</f>
        <v>0.7826431</v>
      </c>
      <c r="K50" s="33" t="n">
        <f aca="false">INDEX(Data_Buyers!$G$2:$G$11,MATCH(LARGE(Data_Buyers!$F$2:$F$11,10),Data_Buyers!$F$2:$F$11,0))</f>
        <v>0.00406766038319504</v>
      </c>
      <c r="L50" s="38" t="str">
        <f aca="false">INDEX(Data_Buyers!$H$2:$H$11,MATCH(LARGE(Data_Buyers!$F$2:$F$11,10),Data_Buyers!$F$2:$F$11,0))</f>
        <v>LOW</v>
      </c>
      <c r="N50" s="31" t="str">
        <f aca="false">INDEX(Data_Buyers!$A$2:$A$11,MATCH(LARGE(Data_Buyers!$B$2:$B$11,5),Data_Buyers!$B$2:$B$11,0))</f>
        <v>BUYER-07</v>
      </c>
      <c r="O50" s="32" t="n">
        <f aca="false">LARGE(Data_Buyers!$B$2:$B$11,5)</f>
        <v>631.2</v>
      </c>
      <c r="P50" s="36" t="n">
        <f aca="false">INDEX(Data_Buyers!$C$2:$C$11,MATCH(LARGE(Data_Buyers!$B$2:$B$11,5),Data_Buyers!$B$2:$B$11,0))</f>
        <v>10143</v>
      </c>
      <c r="Q50" s="36" t="n">
        <f aca="false">INDEX(Data_Buyers!$D$2:$D$11,MATCH(LARGE(Data_Buyers!$B$2:$B$11,5),Data_Buyers!$B$2:$B$11,0))</f>
        <v>62230.1094350784</v>
      </c>
      <c r="R50" s="36" t="n">
        <f aca="false">INDEX(Data_Buyers!$E$2:$E$11,MATCH(LARGE(Data_Buyers!$B$2:$B$11,5),Data_Buyers!$B$2:$B$11,0))</f>
        <v>8</v>
      </c>
    </row>
    <row r="51" customFormat="false" ht="15" hidden="false" customHeight="false" outlineLevel="0" collapsed="false">
      <c r="N51" s="31" t="str">
        <f aca="false">INDEX(Data_Buyers!$A$2:$A$11,MATCH(LARGE(Data_Buyers!$B$2:$B$11,6),Data_Buyers!$B$2:$B$11,0))</f>
        <v>BUYER-03</v>
      </c>
      <c r="O51" s="32" t="n">
        <f aca="false">LARGE(Data_Buyers!$B$2:$B$11,6)</f>
        <v>630.6</v>
      </c>
      <c r="P51" s="36" t="n">
        <f aca="false">INDEX(Data_Buyers!$C$2:$C$11,MATCH(LARGE(Data_Buyers!$B$2:$B$11,6),Data_Buyers!$B$2:$B$11,0))</f>
        <v>10164</v>
      </c>
      <c r="Q51" s="36" t="n">
        <f aca="false">INDEX(Data_Buyers!$D$2:$D$11,MATCH(LARGE(Data_Buyers!$B$2:$B$11,6),Data_Buyers!$B$2:$B$11,0))</f>
        <v>62042.5029515939</v>
      </c>
      <c r="R51" s="36" t="n">
        <f aca="false">INDEX(Data_Buyers!$E$2:$E$11,MATCH(LARGE(Data_Buyers!$B$2:$B$11,6),Data_Buyers!$B$2:$B$11,0))</f>
        <v>8</v>
      </c>
    </row>
    <row r="52" customFormat="false" ht="15" hidden="false" customHeight="false" outlineLevel="0" collapsed="false">
      <c r="N52" s="31" t="str">
        <f aca="false">INDEX(Data_Buyers!$A$2:$A$11,MATCH(LARGE(Data_Buyers!$B$2:$B$11,7),Data_Buyers!$B$2:$B$11,0))</f>
        <v>BUYER-08</v>
      </c>
      <c r="O52" s="32" t="n">
        <f aca="false">LARGE(Data_Buyers!$B$2:$B$11,7)</f>
        <v>616.2</v>
      </c>
      <c r="P52" s="36" t="n">
        <f aca="false">INDEX(Data_Buyers!$C$2:$C$11,MATCH(LARGE(Data_Buyers!$B$2:$B$11,7),Data_Buyers!$B$2:$B$11,0))</f>
        <v>9946</v>
      </c>
      <c r="Q52" s="36" t="n">
        <f aca="false">INDEX(Data_Buyers!$D$2:$D$11,MATCH(LARGE(Data_Buyers!$B$2:$B$11,7),Data_Buyers!$B$2:$B$11,0))</f>
        <v>61954.554594812</v>
      </c>
      <c r="R52" s="36" t="n">
        <f aca="false">INDEX(Data_Buyers!$E$2:$E$11,MATCH(LARGE(Data_Buyers!$B$2:$B$11,7),Data_Buyers!$B$2:$B$11,0))</f>
        <v>10</v>
      </c>
    </row>
    <row r="53" customFormat="false" ht="15" hidden="false" customHeight="false" outlineLevel="0" collapsed="false">
      <c r="N53" s="31" t="str">
        <f aca="false">INDEX(Data_Buyers!$A$2:$A$11,MATCH(LARGE(Data_Buyers!$B$2:$B$11,8),Data_Buyers!$B$2:$B$11,0))</f>
        <v>BUYER-04</v>
      </c>
      <c r="O53" s="32" t="n">
        <f aca="false">LARGE(Data_Buyers!$B$2:$B$11,8)</f>
        <v>615.6</v>
      </c>
      <c r="P53" s="36" t="n">
        <f aca="false">INDEX(Data_Buyers!$C$2:$C$11,MATCH(LARGE(Data_Buyers!$B$2:$B$11,8),Data_Buyers!$B$2:$B$11,0))</f>
        <v>9817</v>
      </c>
      <c r="Q53" s="36" t="n">
        <f aca="false">INDEX(Data_Buyers!$D$2:$D$11,MATCH(LARGE(Data_Buyers!$B$2:$B$11,8),Data_Buyers!$B$2:$B$11,0))</f>
        <v>62707.5481307935</v>
      </c>
      <c r="R53" s="36" t="n">
        <f aca="false">INDEX(Data_Buyers!$E$2:$E$11,MATCH(LARGE(Data_Buyers!$B$2:$B$11,8),Data_Buyers!$B$2:$B$11,0))</f>
        <v>9</v>
      </c>
    </row>
    <row r="54" customFormat="false" ht="15" hidden="false" customHeight="false" outlineLevel="0" collapsed="false">
      <c r="N54" s="31" t="str">
        <f aca="false">INDEX(Data_Buyers!$A$2:$A$11,MATCH(LARGE(Data_Buyers!$B$2:$B$11,9),Data_Buyers!$B$2:$B$11,0))</f>
        <v>BUYER-05</v>
      </c>
      <c r="O54" s="32" t="n">
        <f aca="false">LARGE(Data_Buyers!$B$2:$B$11,9)</f>
        <v>614</v>
      </c>
      <c r="P54" s="36" t="n">
        <f aca="false">INDEX(Data_Buyers!$C$2:$C$11,MATCH(LARGE(Data_Buyers!$B$2:$B$11,9),Data_Buyers!$B$2:$B$11,0))</f>
        <v>10062</v>
      </c>
      <c r="Q54" s="36" t="n">
        <f aca="false">INDEX(Data_Buyers!$D$2:$D$11,MATCH(LARGE(Data_Buyers!$B$2:$B$11,9),Data_Buyers!$B$2:$B$11,0))</f>
        <v>61021.6656728285</v>
      </c>
      <c r="R54" s="36" t="n">
        <f aca="false">INDEX(Data_Buyers!$E$2:$E$11,MATCH(LARGE(Data_Buyers!$B$2:$B$11,9),Data_Buyers!$B$2:$B$11,0))</f>
        <v>7</v>
      </c>
    </row>
    <row r="55" customFormat="false" ht="15" hidden="false" customHeight="false" outlineLevel="0" collapsed="false">
      <c r="N55" s="31" t="str">
        <f aca="false">INDEX(Data_Buyers!$A$2:$A$11,MATCH(LARGE(Data_Buyers!$B$2:$B$11,10),Data_Buyers!$B$2:$B$11,0))</f>
        <v>BUYER-01</v>
      </c>
      <c r="O55" s="32" t="n">
        <f aca="false">LARGE(Data_Buyers!$B$2:$B$11,10)</f>
        <v>597</v>
      </c>
      <c r="P55" s="36" t="n">
        <f aca="false">INDEX(Data_Buyers!$C$2:$C$11,MATCH(LARGE(Data_Buyers!$B$2:$B$11,10),Data_Buyers!$B$2:$B$11,0))</f>
        <v>9879</v>
      </c>
      <c r="Q55" s="36" t="n">
        <f aca="false">INDEX(Data_Buyers!$D$2:$D$11,MATCH(LARGE(Data_Buyers!$B$2:$B$11,10),Data_Buyers!$B$2:$B$11,0))</f>
        <v>60431.2177345885</v>
      </c>
      <c r="R55" s="36" t="n">
        <f aca="false">INDEX(Data_Buyers!$E$2:$E$11,MATCH(LARGE(Data_Buyers!$B$2:$B$11,10),Data_Buyers!$B$2:$B$11,0))</f>
        <v>4</v>
      </c>
    </row>
    <row r="57" customFormat="false" ht="15" hidden="false" customHeight="false" outlineLevel="0" collapsed="false">
      <c r="B57" s="22" t="s">
        <v>54</v>
      </c>
      <c r="C57" s="22"/>
      <c r="D57" s="22"/>
      <c r="E57" s="22"/>
      <c r="F57" s="22"/>
      <c r="H57" s="23" t="s">
        <v>55</v>
      </c>
      <c r="I57" s="23"/>
      <c r="J57" s="23"/>
      <c r="K57" s="23"/>
      <c r="L57" s="23"/>
      <c r="N57" s="24" t="s">
        <v>56</v>
      </c>
      <c r="O57" s="24"/>
      <c r="P57" s="24"/>
      <c r="Q57" s="24"/>
      <c r="R57" s="24"/>
    </row>
    <row r="76" customFormat="false" ht="19.5" hidden="false" customHeight="true" outlineLevel="0" collapsed="false">
      <c r="B76" s="50" t="s">
        <v>57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customFormat="false" ht="15" hidden="false" customHeight="false" outlineLevel="0" collapsed="false">
      <c r="B77" s="51" t="s">
        <v>58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 customFormat="false" ht="15" hidden="false" customHeight="true" outlineLevel="0" collapsed="false">
      <c r="B78" s="52" t="s">
        <v>59</v>
      </c>
      <c r="C78" s="52"/>
      <c r="D78" s="52" t="s">
        <v>60</v>
      </c>
      <c r="E78" s="52"/>
      <c r="F78" s="52"/>
      <c r="G78" s="52"/>
      <c r="H78" s="52"/>
      <c r="I78" s="52"/>
      <c r="J78" s="52"/>
      <c r="K78" s="52"/>
      <c r="L78" s="53" t="s">
        <v>61</v>
      </c>
      <c r="N78" s="52" t="s">
        <v>62</v>
      </c>
      <c r="O78" s="52"/>
      <c r="P78" s="52" t="s">
        <v>63</v>
      </c>
      <c r="Q78" s="52"/>
      <c r="R78" s="52"/>
    </row>
    <row r="79" customFormat="false" ht="27.75" hidden="false" customHeight="true" outlineLevel="0" collapsed="false">
      <c r="B79" s="54" t="s">
        <v>64</v>
      </c>
      <c r="C79" s="54"/>
      <c r="D79" s="55" t="str">
        <f aca="false">"Quantity anomalies: "&amp;Calculations!$E$14&amp;" transactions with an inflated order quantity"</f>
        <v>Quantity anomalies: 30 transactions with an inflated order quantity</v>
      </c>
      <c r="E79" s="55"/>
      <c r="F79" s="55"/>
      <c r="G79" s="55"/>
      <c r="H79" s="55"/>
      <c r="I79" s="55"/>
      <c r="J79" s="55"/>
      <c r="K79" s="55"/>
      <c r="L79" s="56" t="n">
        <f aca="false">SUM(Calculations!$H$2:$H$7)</f>
        <v>165.487894</v>
      </c>
      <c r="N79" s="55" t="str">
        <f aca="false">Calculations!$G$12</f>
        <v>IT Hardware</v>
      </c>
      <c r="O79" s="55"/>
      <c r="P79" s="55" t="s">
        <v>65</v>
      </c>
      <c r="Q79" s="55"/>
      <c r="R79" s="55"/>
    </row>
    <row r="80" customFormat="false" ht="27.75" hidden="false" customHeight="true" outlineLevel="0" collapsed="false">
      <c r="B80" s="54" t="s">
        <v>64</v>
      </c>
      <c r="C80" s="54"/>
      <c r="D80" s="55" t="str">
        <f aca="false">"Largest single order "&amp;Calculations!$B$11&amp;": "&amp;FIXED(Calculations!$B$9/1000000,2)&amp;" M PLN ("&amp;Calculations!$B$12&amp;", "&amp;Calculations!$B$13&amp;", "&amp;Calculations!$B$14&amp;")"</f>
        <v>Largest single order PO-817370: 38.21 M PLN (SUP-46, IT Hardware, 31.08.2024)</v>
      </c>
      <c r="E80" s="55"/>
      <c r="F80" s="55"/>
      <c r="G80" s="55"/>
      <c r="H80" s="55"/>
      <c r="I80" s="55"/>
      <c r="J80" s="55"/>
      <c r="K80" s="55"/>
      <c r="L80" s="56" t="n">
        <f aca="false">Calculations!$B$9/1000000</f>
        <v>38.213365</v>
      </c>
      <c r="N80" s="55" t="str">
        <f aca="false">Calculations!$B$12</f>
        <v>SUP-46</v>
      </c>
      <c r="O80" s="55"/>
      <c r="P80" s="55" t="s">
        <v>66</v>
      </c>
      <c r="Q80" s="55"/>
      <c r="R80" s="55"/>
    </row>
    <row r="81" customFormat="false" ht="27.75" hidden="false" customHeight="true" outlineLevel="0" collapsed="false">
      <c r="B81" s="54" t="s">
        <v>64</v>
      </c>
      <c r="C81" s="54"/>
      <c r="D81" s="55" t="str">
        <f aca="false">"Price anomalies: "&amp;Calculations!$E$13&amp;" transactions with a unit price above the category norm"</f>
        <v>Price anomalies: 50 transactions with a unit price above the category norm</v>
      </c>
      <c r="E81" s="55"/>
      <c r="F81" s="55"/>
      <c r="G81" s="55"/>
      <c r="H81" s="55"/>
      <c r="I81" s="55"/>
      <c r="J81" s="55"/>
      <c r="K81" s="55"/>
      <c r="L81" s="56" t="n">
        <f aca="false">SUM(Calculations!$G$2:$G$7)</f>
        <v>26.9183116</v>
      </c>
      <c r="N81" s="55" t="str">
        <f aca="false">Calculations!$G$11</f>
        <v>IT Hardware</v>
      </c>
      <c r="O81" s="55"/>
      <c r="P81" s="55" t="s">
        <v>67</v>
      </c>
      <c r="Q81" s="55"/>
      <c r="R81" s="55"/>
    </row>
    <row r="82" customFormat="false" ht="27.75" hidden="false" customHeight="true" outlineLevel="0" collapsed="false">
      <c r="B82" s="54" t="s">
        <v>64</v>
      </c>
      <c r="C82" s="54"/>
      <c r="D82" s="55" t="str">
        <f aca="false">Calculations!$B$24&amp;": "&amp;Calculations!$B$23&amp;" anomalies – the most of any supplier"</f>
        <v>SUP-12: 6 anomalies – the most of any supplier</v>
      </c>
      <c r="E82" s="55"/>
      <c r="F82" s="55"/>
      <c r="G82" s="55"/>
      <c r="H82" s="55"/>
      <c r="I82" s="55"/>
      <c r="J82" s="55"/>
      <c r="K82" s="55"/>
      <c r="L82" s="56" t="n">
        <f aca="false">Calculations!$B$25/1000000</f>
        <v>29.14607922</v>
      </c>
      <c r="N82" s="55" t="str">
        <f aca="false">Calculations!$B$24</f>
        <v>SUP-12</v>
      </c>
      <c r="O82" s="55"/>
      <c r="P82" s="55" t="s">
        <v>68</v>
      </c>
      <c r="Q82" s="55"/>
      <c r="R82" s="55"/>
    </row>
    <row r="83" customFormat="false" ht="27.75" hidden="false" customHeight="true" outlineLevel="0" collapsed="false">
      <c r="B83" s="54" t="s">
        <v>69</v>
      </c>
      <c r="C83" s="54"/>
      <c r="D83" s="55" t="str">
        <f aca="false">"Split orders: "&amp;FIXED(Calculations!$B$32,0)&amp;" possible cases of splitting orders to stay under limits"</f>
        <v>Split orders: 2,177 possible cases of splitting orders to stay under limits</v>
      </c>
      <c r="E83" s="55"/>
      <c r="F83" s="55"/>
      <c r="G83" s="55"/>
      <c r="H83" s="55"/>
      <c r="I83" s="55"/>
      <c r="J83" s="55"/>
      <c r="K83" s="55"/>
      <c r="L83" s="56" t="n">
        <f aca="false">Calculations!$B$33</f>
        <v>284.9</v>
      </c>
      <c r="N83" s="55" t="s">
        <v>70</v>
      </c>
      <c r="O83" s="55"/>
      <c r="P83" s="55" t="s">
        <v>71</v>
      </c>
      <c r="Q83" s="55"/>
      <c r="R83" s="55"/>
    </row>
    <row r="84" customFormat="false" ht="27.75" hidden="false" customHeight="true" outlineLevel="0" collapsed="false">
      <c r="B84" s="54" t="str">
        <f aca="false">IF(Calculations!$B$15&gt;Parameters!$B$10,"WARNING","WATCH")</f>
        <v>WARNING</v>
      </c>
      <c r="C84" s="54"/>
      <c r="D84" s="55" t="str">
        <f aca="false">Calculations!$B$16&amp;": "&amp;FIXED(Calculations!$B$15*100,1)&amp;"% of total spend – the concentration limit is "&amp;FIXED(Parameters!$B$10*100,0)&amp;"%"</f>
        <v>IT Hardware: 63.5% of total spend – the concentration limit is 50%</v>
      </c>
      <c r="E84" s="55"/>
      <c r="F84" s="55"/>
      <c r="G84" s="55"/>
      <c r="H84" s="55"/>
      <c r="I84" s="55"/>
      <c r="J84" s="55"/>
      <c r="K84" s="55"/>
      <c r="L84" s="56" t="n">
        <f aca="false">INDEX(Data_Categories!$D$2:$D$7,MATCH(Calculations!$B$16,Data_Categories!$A$2:$A$7,0))</f>
        <v>3999.58</v>
      </c>
      <c r="N84" s="55" t="str">
        <f aca="false">Calculations!$B$16</f>
        <v>IT Hardware</v>
      </c>
      <c r="O84" s="55"/>
      <c r="P84" s="55" t="str">
        <f aca="false">"Diversify + KPI max. "&amp;FIXED(Parameters!$B$10*100,0)&amp;"% per category"</f>
        <v>Diversify + KPI max. 50% per category</v>
      </c>
      <c r="Q84" s="55"/>
      <c r="R84" s="55"/>
    </row>
    <row r="85" customFormat="false" ht="27.75" hidden="false" customHeight="true" outlineLevel="0" collapsed="false">
      <c r="B85" s="54" t="s">
        <v>69</v>
      </c>
      <c r="C85" s="54"/>
      <c r="D85" s="55" t="str">
        <f aca="false">Calculations!$B$28&amp;": "&amp;Calculations!$B$29&amp;" price outliers above "&amp;FIXED(Calculations!$B$31,0)&amp;" PLN/unit (μ+2σ threshold)"</f>
        <v>IT Hardware: 76 price outliers above 7,213 PLN/unit (μ+2σ threshold)</v>
      </c>
      <c r="E85" s="55"/>
      <c r="F85" s="55"/>
      <c r="G85" s="55"/>
      <c r="H85" s="55"/>
      <c r="I85" s="55"/>
      <c r="J85" s="55"/>
      <c r="K85" s="55"/>
      <c r="L85" s="56" t="n">
        <f aca="false">Calculations!$B$30</f>
        <v>40.47</v>
      </c>
      <c r="N85" s="55" t="str">
        <f aca="false">Calculations!$B$28</f>
        <v>IT Hardware</v>
      </c>
      <c r="O85" s="55"/>
      <c r="P85" s="55" t="s">
        <v>72</v>
      </c>
      <c r="Q85" s="55"/>
      <c r="R85" s="55"/>
    </row>
    <row r="86" customFormat="false" ht="27.75" hidden="false" customHeight="true" outlineLevel="0" collapsed="false">
      <c r="B86" s="54" t="str">
        <f aca="false">IF(Calculations!$B$17&gt;Parameters!$B$2,"WARNING","WATCH")</f>
        <v>WARNING</v>
      </c>
      <c r="C86" s="54"/>
      <c r="D86" s="55" t="str">
        <f aca="false">Calculations!$B$18&amp;": y/y growth "&amp;FIXED(Calculations!$B$17*100,1)&amp;"% vs PPI ~"&amp;FIXED(Parameters!$B$2*100,1)&amp;"% (value = excess above inflation)"</f>
        <v>Marketing Services: y/y growth 6.9% vs PPI ~3.5% (value = excess above inflation)</v>
      </c>
      <c r="E86" s="55"/>
      <c r="F86" s="55"/>
      <c r="G86" s="55"/>
      <c r="H86" s="55"/>
      <c r="I86" s="55"/>
      <c r="J86" s="55"/>
      <c r="K86" s="55"/>
      <c r="L86" s="56" t="n">
        <f aca="false">Calculations!$B$19</f>
        <v>20.10255</v>
      </c>
      <c r="N86" s="55" t="str">
        <f aca="false">Calculations!$B$18</f>
        <v>Marketing Services</v>
      </c>
      <c r="O86" s="55"/>
      <c r="P86" s="55" t="s">
        <v>73</v>
      </c>
      <c r="Q86" s="55"/>
      <c r="R86" s="55"/>
    </row>
    <row r="87" customFormat="false" ht="27.75" hidden="false" customHeight="true" outlineLevel="0" collapsed="false">
      <c r="B87" s="54" t="s">
        <v>69</v>
      </c>
      <c r="C87" s="54"/>
      <c r="D87" s="55" t="str">
        <f aca="false">Calculations!$B$34&amp;" + "&amp;Calculations!$B$35&amp;": "&amp;FIXED(Calculations!$B$36/1000000,1)&amp;" M PLN of anomalous transactions ("&amp;Calculations!$B$37&amp;" + "&amp;Calculations!$B$38&amp;" txn)"</f>
        <v>BUYER-06 + BUYER-02: 86.4 M PLN of anomalous transactions (8 + 8 txn)</v>
      </c>
      <c r="E87" s="55"/>
      <c r="F87" s="55"/>
      <c r="G87" s="55"/>
      <c r="H87" s="55"/>
      <c r="I87" s="55"/>
      <c r="J87" s="55"/>
      <c r="K87" s="55"/>
      <c r="L87" s="56" t="n">
        <f aca="false">Calculations!$B$36/1000000</f>
        <v>86.37748051</v>
      </c>
      <c r="N87" s="55" t="str">
        <f aca="false">Calculations!$B$34&amp;", "&amp;Calculations!$B$35</f>
        <v>BUYER-06, BUYER-02</v>
      </c>
      <c r="O87" s="55"/>
      <c r="P87" s="55" t="s">
        <v>74</v>
      </c>
      <c r="Q87" s="55"/>
      <c r="R87" s="55"/>
    </row>
    <row r="88" customFormat="false" ht="27.75" hidden="false" customHeight="true" outlineLevel="0" collapsed="false">
      <c r="B88" s="54" t="s">
        <v>75</v>
      </c>
      <c r="C88" s="54"/>
      <c r="D88" s="55" t="str">
        <f aca="false">"Pareto: "&amp;Calculations!$B$20&amp;" of "&amp;Calculations!$B$4&amp;" suppliers make up 80% of spend – a spread-out supplier base"</f>
        <v>Pareto: 40 of 50 suppliers make up 80% of spend – a spread-out supplier base</v>
      </c>
      <c r="E88" s="55"/>
      <c r="F88" s="55"/>
      <c r="G88" s="55"/>
      <c r="H88" s="55"/>
      <c r="I88" s="55"/>
      <c r="J88" s="55"/>
      <c r="K88" s="55"/>
      <c r="L88" s="56" t="n">
        <f aca="false">0</f>
        <v>0</v>
      </c>
      <c r="N88" s="55" t="s">
        <v>76</v>
      </c>
      <c r="O88" s="55"/>
      <c r="P88" s="55" t="str">
        <f aca="false">"Strategic consolidation – target: "&amp;Parameters!$B$11&amp;" suppliers"</f>
        <v>Strategic consolidation – target: 30 suppliers</v>
      </c>
      <c r="Q88" s="55"/>
      <c r="R88" s="55"/>
    </row>
    <row r="89" customFormat="false" ht="27.75" hidden="false" customHeight="true" outlineLevel="0" collapsed="false">
      <c r="B89" s="54" t="s">
        <v>75</v>
      </c>
      <c r="C89" s="54"/>
      <c r="D89" s="55" t="str">
        <f aca="false">"Office Supplies: "&amp;FIXED(INDEX(Data_Categories!$E$2:$E$7,MATCH("Office Supplies",Data_Categories!$A$2:$A$7,0))*100,1)&amp;"% of spend – small, scattered purchases"</f>
        <v>Office Supplies: 0.6% of spend – small, scattered purchases</v>
      </c>
      <c r="E89" s="55"/>
      <c r="F89" s="55"/>
      <c r="G89" s="55"/>
      <c r="H89" s="55"/>
      <c r="I89" s="55"/>
      <c r="J89" s="55"/>
      <c r="K89" s="55"/>
      <c r="L89" s="56" t="n">
        <f aca="false">INDEX(Data_Categories!$D$2:$D$7,MATCH("Office Supplies",Data_Categories!$A$2:$A$7,0))</f>
        <v>39.89</v>
      </c>
      <c r="N89" s="55" t="s">
        <v>77</v>
      </c>
      <c r="O89" s="55"/>
      <c r="P89" s="55" t="s">
        <v>78</v>
      </c>
      <c r="Q89" s="55"/>
      <c r="R89" s="55"/>
    </row>
    <row r="90" customFormat="false" ht="27.75" hidden="false" customHeight="true" outlineLevel="0" collapsed="false">
      <c r="B90" s="54" t="s">
        <v>75</v>
      </c>
      <c r="C90" s="54"/>
      <c r="D90" s="55" t="str">
        <f aca="false">"Raw Materials: y/y change "&amp;FIXED(INDEX(Data_Categories!$F$2:$F$7,MATCH("Raw Materials",Data_Categories!$A$2:$A$7,0))*100,1)&amp;"% – below inflation, good price discipline"</f>
        <v>Raw Materials: y/y change -0.2% – below inflation, good price discipline</v>
      </c>
      <c r="E90" s="55"/>
      <c r="F90" s="55"/>
      <c r="G90" s="55"/>
      <c r="H90" s="55"/>
      <c r="I90" s="55"/>
      <c r="J90" s="55"/>
      <c r="K90" s="55"/>
      <c r="L90" s="56" t="n">
        <f aca="false">INDEX(Data_Categories!$C$2:$C$7,MATCH("Raw Materials",Data_Categories!$A$2:$A$7,0))</f>
        <v>82.35</v>
      </c>
      <c r="N90" s="55" t="s">
        <v>79</v>
      </c>
      <c r="O90" s="55"/>
      <c r="P90" s="55" t="s">
        <v>80</v>
      </c>
      <c r="Q90" s="55"/>
      <c r="R90" s="55"/>
    </row>
    <row r="91" customFormat="false" ht="27.75" hidden="false" customHeight="true" outlineLevel="0" collapsed="false">
      <c r="B91" s="54" t="s">
        <v>75</v>
      </c>
      <c r="C91" s="54"/>
      <c r="D91" s="55" t="str">
        <f aca="false">"Logistics: y/y change "&amp;FIXED(INDEX(Data_Categories!$F$2:$F$7,MATCH("Logistics",Data_Categories!$A$2:$A$7,0))*100,1)&amp;"% – close to the PPI benchmark ~"&amp;FIXED(Parameters!$B$2*100,1)&amp;"%"</f>
        <v>Logistics: y/y change 3.6% – close to the PPI benchmark ~3.5%</v>
      </c>
      <c r="E91" s="55"/>
      <c r="F91" s="55"/>
      <c r="G91" s="55"/>
      <c r="H91" s="55"/>
      <c r="I91" s="55"/>
      <c r="J91" s="55"/>
      <c r="K91" s="55"/>
      <c r="L91" s="56" t="n">
        <f aca="false">INDEX(Data_Categories!$C$2:$C$7,MATCH("Logistics",Data_Categories!$A$2:$A$7,0))</f>
        <v>122.34</v>
      </c>
      <c r="N91" s="55" t="s">
        <v>81</v>
      </c>
      <c r="O91" s="55"/>
      <c r="P91" s="55" t="s">
        <v>82</v>
      </c>
      <c r="Q91" s="55"/>
      <c r="R91" s="55"/>
    </row>
    <row r="93" customFormat="false" ht="33.75" hidden="false" customHeight="true" outlineLevel="0" collapsed="false">
      <c r="B93" s="57" t="s">
        <v>83</v>
      </c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</row>
    <row r="94" customFormat="false" ht="15" hidden="false" customHeight="false" outlineLevel="0" collapsed="false">
      <c r="B94" s="58" t="str">
        <f aca="false">"Data consistency check (categories = months = suppliers): "&amp;Calculations!$B$42</f>
        <v>Data consistency check (categories = months = suppliers): OK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</row>
  </sheetData>
  <mergeCells count="108">
    <mergeCell ref="B2:R3"/>
    <mergeCell ref="B4:R4"/>
    <mergeCell ref="B6:D6"/>
    <mergeCell ref="E6:G6"/>
    <mergeCell ref="H6:J6"/>
    <mergeCell ref="K6:M6"/>
    <mergeCell ref="N6:R6"/>
    <mergeCell ref="B7:D7"/>
    <mergeCell ref="E7:G7"/>
    <mergeCell ref="H7:J7"/>
    <mergeCell ref="K7:M7"/>
    <mergeCell ref="N7:R7"/>
    <mergeCell ref="B8:D8"/>
    <mergeCell ref="E8:G8"/>
    <mergeCell ref="H8:J8"/>
    <mergeCell ref="K8:M8"/>
    <mergeCell ref="N8:R8"/>
    <mergeCell ref="B10:D10"/>
    <mergeCell ref="E10:G10"/>
    <mergeCell ref="H10:J10"/>
    <mergeCell ref="K10:M10"/>
    <mergeCell ref="N10:R10"/>
    <mergeCell ref="B11:D11"/>
    <mergeCell ref="E11:G11"/>
    <mergeCell ref="H11:J11"/>
    <mergeCell ref="K11:M11"/>
    <mergeCell ref="N11:R11"/>
    <mergeCell ref="B12:D12"/>
    <mergeCell ref="E12:G12"/>
    <mergeCell ref="H12:J12"/>
    <mergeCell ref="K12:M12"/>
    <mergeCell ref="N12:R12"/>
    <mergeCell ref="B14:F14"/>
    <mergeCell ref="H14:L14"/>
    <mergeCell ref="N14:R14"/>
    <mergeCell ref="B15:F15"/>
    <mergeCell ref="H15:L15"/>
    <mergeCell ref="N15:R15"/>
    <mergeCell ref="H21:L21"/>
    <mergeCell ref="B25:F25"/>
    <mergeCell ref="H31:L31"/>
    <mergeCell ref="N33:R33"/>
    <mergeCell ref="H39:L39"/>
    <mergeCell ref="B41:F41"/>
    <mergeCell ref="N44:R44"/>
    <mergeCell ref="B57:F57"/>
    <mergeCell ref="H57:L57"/>
    <mergeCell ref="N57:R57"/>
    <mergeCell ref="B76:R76"/>
    <mergeCell ref="B77:R77"/>
    <mergeCell ref="B78:C78"/>
    <mergeCell ref="D78:K78"/>
    <mergeCell ref="N78:O78"/>
    <mergeCell ref="P78:R78"/>
    <mergeCell ref="B79:C79"/>
    <mergeCell ref="D79:K79"/>
    <mergeCell ref="N79:O79"/>
    <mergeCell ref="P79:R79"/>
    <mergeCell ref="B80:C80"/>
    <mergeCell ref="D80:K80"/>
    <mergeCell ref="N80:O80"/>
    <mergeCell ref="P80:R80"/>
    <mergeCell ref="B81:C81"/>
    <mergeCell ref="D81:K81"/>
    <mergeCell ref="N81:O81"/>
    <mergeCell ref="P81:R81"/>
    <mergeCell ref="B82:C82"/>
    <mergeCell ref="D82:K82"/>
    <mergeCell ref="N82:O82"/>
    <mergeCell ref="P82:R82"/>
    <mergeCell ref="B83:C83"/>
    <mergeCell ref="D83:K83"/>
    <mergeCell ref="N83:O83"/>
    <mergeCell ref="P83:R83"/>
    <mergeCell ref="B84:C84"/>
    <mergeCell ref="D84:K84"/>
    <mergeCell ref="N84:O84"/>
    <mergeCell ref="P84:R84"/>
    <mergeCell ref="B85:C85"/>
    <mergeCell ref="D85:K85"/>
    <mergeCell ref="N85:O85"/>
    <mergeCell ref="P85:R85"/>
    <mergeCell ref="B86:C86"/>
    <mergeCell ref="D86:K86"/>
    <mergeCell ref="N86:O86"/>
    <mergeCell ref="P86:R86"/>
    <mergeCell ref="B87:C87"/>
    <mergeCell ref="D87:K87"/>
    <mergeCell ref="N87:O87"/>
    <mergeCell ref="P87:R87"/>
    <mergeCell ref="B88:C88"/>
    <mergeCell ref="D88:K88"/>
    <mergeCell ref="N88:O88"/>
    <mergeCell ref="P88:R88"/>
    <mergeCell ref="B89:C89"/>
    <mergeCell ref="D89:K89"/>
    <mergeCell ref="N89:O89"/>
    <mergeCell ref="P89:R89"/>
    <mergeCell ref="B90:C90"/>
    <mergeCell ref="D90:K90"/>
    <mergeCell ref="N90:O90"/>
    <mergeCell ref="P90:R90"/>
    <mergeCell ref="B91:C91"/>
    <mergeCell ref="D91:K91"/>
    <mergeCell ref="N91:O91"/>
    <mergeCell ref="P91:R91"/>
    <mergeCell ref="B93:R93"/>
    <mergeCell ref="B94:R94"/>
  </mergeCells>
  <conditionalFormatting sqref="D17:D22">
    <cfRule type="dataBar" priority="2">
      <dataBar showValue="1" minLength="10" maxLength="90">
        <cfvo type="num" val="0"/>
        <cfvo type="num" val="1"/>
        <color rgb="FF8EA9DB"/>
      </dataBar>
      <extLst>
        <ext xmlns:x14="http://schemas.microsoft.com/office/spreadsheetml/2009/9/main" uri="{B025F937-C7B1-47D3-B67F-A62EFF666E3E}">
          <x14:id>{56435B4E-B718-403F-8BBA-96113C00461C}</x14:id>
        </ext>
      </extLst>
    </cfRule>
  </conditionalFormatting>
  <conditionalFormatting sqref="O17:O31">
    <cfRule type="dataBar" priority="3">
      <dataBar showValue="1" minLength="10" maxLength="90">
        <cfvo type="min" val="0"/>
        <cfvo type="max" val="0"/>
        <color rgb="FF7FC8C2"/>
      </dataBar>
      <extLst>
        <ext xmlns:x14="http://schemas.microsoft.com/office/spreadsheetml/2009/9/main" uri="{B025F937-C7B1-47D3-B67F-A62EFF666E3E}">
          <x14:id>{A77E2649-46E7-4AA7-B6FC-8C3FDCE0F269}</x14:id>
        </ext>
      </extLst>
    </cfRule>
  </conditionalFormatting>
  <conditionalFormatting sqref="E17:E22">
    <cfRule type="expression" priority="4" aboveAverage="0" equalAverage="0" bottom="0" percent="0" rank="0" text="" dxfId="0">
      <formula>E17&gt;Parameters!$B$2</formula>
    </cfRule>
    <cfRule type="expression" priority="5" aboveAverage="0" equalAverage="0" bottom="0" percent="0" rank="0" text="" dxfId="1">
      <formula>E17&lt;0</formula>
    </cfRule>
  </conditionalFormatting>
  <conditionalFormatting sqref="F27:F38">
    <cfRule type="colorScale" priority="6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conditionalFormatting sqref="L23:L28">
    <cfRule type="expression" priority="7" aboveAverage="0" equalAverage="0" bottom="0" percent="0" rank="0" text="" dxfId="2">
      <formula>ISNUMBER(SEARCH("HIGH",L23))</formula>
    </cfRule>
    <cfRule type="expression" priority="8" aboveAverage="0" equalAverage="0" bottom="0" percent="0" rank="0" text="" dxfId="3">
      <formula>OR(ISNUMBER(SEARCH("MEDIUM",L23)),ISNUMBER(SEARCH("ELEVATED",L23)))</formula>
    </cfRule>
    <cfRule type="expression" priority="9" aboveAverage="0" equalAverage="0" bottom="0" percent="0" rank="0" text="" dxfId="4">
      <formula>ISNUMBER(SEARCH("LOW",L23))</formula>
    </cfRule>
  </conditionalFormatting>
  <conditionalFormatting sqref="L41:L50">
    <cfRule type="expression" priority="10" aboveAverage="0" equalAverage="0" bottom="0" percent="0" rank="0" text="" dxfId="2">
      <formula>ISNUMBER(SEARCH("HIGH",L41))</formula>
    </cfRule>
    <cfRule type="expression" priority="11" aboveAverage="0" equalAverage="0" bottom="0" percent="0" rank="0" text="" dxfId="3">
      <formula>OR(ISNUMBER(SEARCH("MEDIUM",L41)),ISNUMBER(SEARCH("ELEVATED",L41)))</formula>
    </cfRule>
    <cfRule type="expression" priority="12" aboveAverage="0" equalAverage="0" bottom="0" percent="0" rank="0" text="" dxfId="4">
      <formula>ISNUMBER(SEARCH("LOW",L41))</formula>
    </cfRule>
  </conditionalFormatting>
  <conditionalFormatting sqref="R35:R42">
    <cfRule type="expression" priority="13" aboveAverage="0" equalAverage="0" bottom="0" percent="0" rank="0" text="" dxfId="2">
      <formula>ISNUMBER(SEARCH("HIGH",R35))</formula>
    </cfRule>
    <cfRule type="expression" priority="14" aboveAverage="0" equalAverage="0" bottom="0" percent="0" rank="0" text="" dxfId="3">
      <formula>OR(ISNUMBER(SEARCH("MEDIUM",R35)),ISNUMBER(SEARCH("ELEVATED",R35)))</formula>
    </cfRule>
    <cfRule type="expression" priority="15" aboveAverage="0" equalAverage="0" bottom="0" percent="0" rank="0" text="" dxfId="4">
      <formula>ISNUMBER(SEARCH("LOW",R35))</formula>
    </cfRule>
  </conditionalFormatting>
  <conditionalFormatting sqref="R17:R31">
    <cfRule type="expression" priority="16" aboveAverage="0" equalAverage="0" bottom="0" percent="0" rank="0" text="" dxfId="2">
      <formula>R17&gt;=Parameters!$B$3</formula>
    </cfRule>
    <cfRule type="expression" priority="17" aboveAverage="0" equalAverage="0" bottom="0" percent="0" rank="0" text="" dxfId="3">
      <formula>AND(R17&gt;=Parameters!$B$4,R17&lt;Parameters!$B$3)</formula>
    </cfRule>
    <cfRule type="expression" priority="18" aboveAverage="0" equalAverage="0" bottom="0" percent="0" rank="0" text="" dxfId="4">
      <formula>R17&lt;Parameters!$B$4</formula>
    </cfRule>
  </conditionalFormatting>
  <conditionalFormatting sqref="O35:O42">
    <cfRule type="expression" priority="19" aboveAverage="0" equalAverage="0" bottom="0" percent="0" rank="0" text="" dxfId="0">
      <formula>O35&gt;=Parameters!$B$3</formula>
    </cfRule>
  </conditionalFormatting>
  <conditionalFormatting sqref="I41:I50">
    <cfRule type="expression" priority="20" aboveAverage="0" equalAverage="0" bottom="0" percent="0" rank="0" text="" dxfId="0">
      <formula>I41&gt;=Parameters!$B$5</formula>
    </cfRule>
  </conditionalFormatting>
  <conditionalFormatting sqref="B79:C91">
    <cfRule type="expression" priority="21" aboveAverage="0" equalAverage="0" bottom="0" percent="0" rank="0" text="" dxfId="5">
      <formula>B79="CRITICAL"</formula>
    </cfRule>
    <cfRule type="expression" priority="22" aboveAverage="0" equalAverage="0" bottom="0" percent="0" rank="0" text="" dxfId="6">
      <formula>B79="WARNING"</formula>
    </cfRule>
    <cfRule type="expression" priority="23" aboveAverage="0" equalAverage="0" bottom="0" percent="0" rank="0" text="" dxfId="7">
      <formula>B79="WATCH"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35B4E-B718-403F-8BBA-96113C0046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EA9DB"/>
              <x14:axisColor rgb="FF000000"/>
            </x14:dataBar>
          </x14:cfRule>
          <xm:sqref>D17:D22</xm:sqref>
        </x14:conditionalFormatting>
        <x14:conditionalFormatting xmlns:xm="http://schemas.microsoft.com/office/excel/2006/main">
          <x14:cfRule type="dataBar" id="{A77E2649-46E7-4AA7-B6FC-8C3FDCE0F269}">
            <x14:dataBar minLength="10" maxLength="90" axisPosition="none" gradient="true">
              <x14:cfvo type="min"/>
              <x14:cfvo type="max"/>
              <x14:negativeFillColor rgb="FF7FC8C2"/>
              <x14:axisColor rgb="FF000000"/>
            </x14:dataBar>
          </x14:cfRule>
          <xm:sqref>O17:O31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59" t="s">
        <v>84</v>
      </c>
    </row>
    <row r="2" customFormat="false" ht="30" hidden="false" customHeight="true" outlineLevel="0" collapsed="false">
      <c r="A2" s="60" t="s">
        <v>85</v>
      </c>
      <c r="B2" s="61" t="s">
        <v>86</v>
      </c>
    </row>
    <row r="3" customFormat="false" ht="30" hidden="false" customHeight="true" outlineLevel="0" collapsed="false">
      <c r="A3" s="60" t="s">
        <v>87</v>
      </c>
      <c r="B3" s="61" t="s">
        <v>88</v>
      </c>
    </row>
    <row r="4" customFormat="false" ht="30" hidden="false" customHeight="true" outlineLevel="0" collapsed="false">
      <c r="A4" s="60" t="s">
        <v>89</v>
      </c>
      <c r="B4" s="61" t="s">
        <v>90</v>
      </c>
    </row>
    <row r="5" customFormat="false" ht="30" hidden="false" customHeight="true" outlineLevel="0" collapsed="false">
      <c r="A5" s="60" t="s">
        <v>91</v>
      </c>
      <c r="B5" s="61" t="s">
        <v>92</v>
      </c>
    </row>
    <row r="6" customFormat="false" ht="30" hidden="false" customHeight="true" outlineLevel="0" collapsed="false">
      <c r="A6" s="60" t="s">
        <v>93</v>
      </c>
      <c r="B6" s="61" t="s">
        <v>94</v>
      </c>
    </row>
    <row r="7" customFormat="false" ht="30" hidden="false" customHeight="true" outlineLevel="0" collapsed="false">
      <c r="A7" s="60" t="s">
        <v>95</v>
      </c>
      <c r="B7" s="61" t="s">
        <v>96</v>
      </c>
    </row>
    <row r="8" customFormat="false" ht="30" hidden="false" customHeight="true" outlineLevel="0" collapsed="false">
      <c r="A8" s="60" t="s">
        <v>97</v>
      </c>
      <c r="B8" s="61" t="s">
        <v>98</v>
      </c>
    </row>
    <row r="9" customFormat="false" ht="30" hidden="false" customHeight="true" outlineLevel="0" collapsed="false">
      <c r="A9" s="60" t="s">
        <v>99</v>
      </c>
      <c r="B9" s="61" t="s">
        <v>100</v>
      </c>
    </row>
    <row r="10" customFormat="false" ht="30" hidden="false" customHeight="true" outlineLevel="0" collapsed="false">
      <c r="A10" s="60" t="s">
        <v>101</v>
      </c>
      <c r="B10" s="61" t="s">
        <v>102</v>
      </c>
    </row>
    <row r="11" customFormat="false" ht="30" hidden="false" customHeight="true" outlineLevel="0" collapsed="false">
      <c r="A11" s="60" t="s">
        <v>103</v>
      </c>
      <c r="B11" s="61" t="s">
        <v>104</v>
      </c>
    </row>
    <row r="12" customFormat="false" ht="30" hidden="false" customHeight="true" outlineLevel="0" collapsed="false">
      <c r="A12" s="60" t="s">
        <v>105</v>
      </c>
      <c r="B12" s="61" t="s">
        <v>106</v>
      </c>
    </row>
    <row r="13" customFormat="false" ht="30" hidden="false" customHeight="true" outlineLevel="0" collapsed="false">
      <c r="A13" s="60" t="s">
        <v>107</v>
      </c>
      <c r="B13" s="61" t="s">
        <v>108</v>
      </c>
    </row>
    <row r="14" customFormat="false" ht="30" hidden="false" customHeight="true" outlineLevel="0" collapsed="false">
      <c r="A14" s="60" t="s">
        <v>109</v>
      </c>
      <c r="B14" s="61" t="s">
        <v>110</v>
      </c>
    </row>
    <row r="15" customFormat="false" ht="30" hidden="false" customHeight="true" outlineLevel="0" collapsed="false">
      <c r="A15" s="60" t="s">
        <v>111</v>
      </c>
      <c r="B15" s="61" t="s">
        <v>112</v>
      </c>
    </row>
    <row r="16" customFormat="false" ht="30" hidden="false" customHeight="true" outlineLevel="0" collapsed="false">
      <c r="A16" s="60" t="s">
        <v>113</v>
      </c>
      <c r="B16" s="6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75"/>
  </cols>
  <sheetData>
    <row r="1" customFormat="false" ht="15" hidden="false" customHeight="false" outlineLevel="0" collapsed="false">
      <c r="A1" s="62" t="s">
        <v>115</v>
      </c>
      <c r="B1" s="62" t="s">
        <v>116</v>
      </c>
      <c r="C1" s="62" t="s">
        <v>117</v>
      </c>
    </row>
    <row r="2" customFormat="false" ht="15" hidden="false" customHeight="false" outlineLevel="0" collapsed="false">
      <c r="A2" s="63" t="s">
        <v>118</v>
      </c>
      <c r="B2" s="64" t="n">
        <v>0.035</v>
      </c>
      <c r="C2" s="65" t="s">
        <v>119</v>
      </c>
    </row>
    <row r="3" customFormat="false" ht="15" hidden="false" customHeight="false" outlineLevel="0" collapsed="false">
      <c r="A3" s="63" t="s">
        <v>120</v>
      </c>
      <c r="B3" s="66" t="n">
        <v>4</v>
      </c>
      <c r="C3" s="65" t="s">
        <v>121</v>
      </c>
    </row>
    <row r="4" customFormat="false" ht="15" hidden="false" customHeight="false" outlineLevel="0" collapsed="false">
      <c r="A4" s="63" t="s">
        <v>122</v>
      </c>
      <c r="B4" s="66" t="n">
        <v>2</v>
      </c>
      <c r="C4" s="65" t="s">
        <v>123</v>
      </c>
    </row>
    <row r="5" customFormat="false" ht="15" hidden="false" customHeight="false" outlineLevel="0" collapsed="false">
      <c r="A5" s="63" t="s">
        <v>124</v>
      </c>
      <c r="B5" s="66" t="n">
        <v>8</v>
      </c>
      <c r="C5" s="65" t="s">
        <v>125</v>
      </c>
    </row>
    <row r="6" customFormat="false" ht="15" hidden="false" customHeight="false" outlineLevel="0" collapsed="false">
      <c r="A6" s="63" t="s">
        <v>126</v>
      </c>
      <c r="B6" s="66" t="n">
        <v>5</v>
      </c>
      <c r="C6" s="65" t="s">
        <v>127</v>
      </c>
    </row>
    <row r="7" customFormat="false" ht="15" hidden="false" customHeight="false" outlineLevel="0" collapsed="false">
      <c r="A7" s="63" t="s">
        <v>128</v>
      </c>
      <c r="B7" s="66" t="n">
        <v>20</v>
      </c>
      <c r="C7" s="65" t="s">
        <v>129</v>
      </c>
    </row>
    <row r="8" customFormat="false" ht="15" hidden="false" customHeight="false" outlineLevel="0" collapsed="false">
      <c r="A8" s="63" t="s">
        <v>130</v>
      </c>
      <c r="B8" s="66" t="n">
        <v>5</v>
      </c>
      <c r="C8" s="65" t="s">
        <v>131</v>
      </c>
    </row>
    <row r="9" customFormat="false" ht="15" hidden="false" customHeight="false" outlineLevel="0" collapsed="false">
      <c r="A9" s="63" t="s">
        <v>132</v>
      </c>
      <c r="B9" s="64" t="n">
        <v>0.8</v>
      </c>
      <c r="C9" s="65" t="s">
        <v>133</v>
      </c>
    </row>
    <row r="10" customFormat="false" ht="15" hidden="false" customHeight="false" outlineLevel="0" collapsed="false">
      <c r="A10" s="63" t="s">
        <v>134</v>
      </c>
      <c r="B10" s="64" t="n">
        <v>0.5</v>
      </c>
      <c r="C10" s="65" t="s">
        <v>135</v>
      </c>
    </row>
    <row r="11" customFormat="false" ht="15" hidden="false" customHeight="false" outlineLevel="0" collapsed="false">
      <c r="A11" s="63" t="s">
        <v>136</v>
      </c>
      <c r="B11" s="66" t="n">
        <v>30</v>
      </c>
      <c r="C11" s="65" t="s">
        <v>137</v>
      </c>
    </row>
    <row r="13" customFormat="false" ht="15" hidden="false" customHeight="false" outlineLevel="0" collapsed="false">
      <c r="A13" s="6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68" t="s">
        <v>139</v>
      </c>
      <c r="B1" s="68" t="s">
        <v>42</v>
      </c>
      <c r="C1" s="68" t="s">
        <v>17</v>
      </c>
      <c r="D1" s="68" t="s">
        <v>26</v>
      </c>
      <c r="E1" s="68" t="s">
        <v>140</v>
      </c>
      <c r="F1" s="68" t="s">
        <v>141</v>
      </c>
      <c r="G1" s="68" t="s">
        <v>48</v>
      </c>
      <c r="H1" s="68" t="s">
        <v>142</v>
      </c>
      <c r="I1" s="68" t="s">
        <v>143</v>
      </c>
    </row>
    <row r="2" customFormat="false" ht="15" hidden="false" customHeight="false" outlineLevel="0" collapsed="false">
      <c r="A2" s="69" t="s">
        <v>144</v>
      </c>
      <c r="B2" s="70" t="n">
        <v>45535</v>
      </c>
      <c r="C2" s="69" t="s">
        <v>145</v>
      </c>
      <c r="D2" s="69" t="s">
        <v>146</v>
      </c>
      <c r="E2" s="71" t="n">
        <v>8500</v>
      </c>
      <c r="F2" s="72" t="n">
        <v>4495.69</v>
      </c>
      <c r="G2" s="69" t="s">
        <v>147</v>
      </c>
      <c r="H2" s="69" t="s">
        <v>29</v>
      </c>
      <c r="I2" s="71" t="n">
        <f aca="false">E2*F2</f>
        <v>38213365</v>
      </c>
    </row>
    <row r="3" customFormat="false" ht="15" hidden="false" customHeight="false" outlineLevel="0" collapsed="false">
      <c r="A3" s="69" t="s">
        <v>148</v>
      </c>
      <c r="B3" s="70" t="n">
        <v>45509</v>
      </c>
      <c r="C3" s="69" t="s">
        <v>145</v>
      </c>
      <c r="D3" s="69" t="s">
        <v>149</v>
      </c>
      <c r="E3" s="71" t="n">
        <v>5500</v>
      </c>
      <c r="F3" s="72" t="n">
        <v>4025.1</v>
      </c>
      <c r="G3" s="69" t="s">
        <v>150</v>
      </c>
      <c r="H3" s="69" t="s">
        <v>29</v>
      </c>
      <c r="I3" s="71" t="n">
        <f aca="false">E3*F3</f>
        <v>22138050</v>
      </c>
    </row>
    <row r="4" customFormat="false" ht="15" hidden="false" customHeight="false" outlineLevel="0" collapsed="false">
      <c r="A4" s="69" t="s">
        <v>151</v>
      </c>
      <c r="B4" s="70" t="n">
        <v>45738</v>
      </c>
      <c r="C4" s="69" t="s">
        <v>145</v>
      </c>
      <c r="D4" s="69" t="s">
        <v>152</v>
      </c>
      <c r="E4" s="71" t="n">
        <v>4600</v>
      </c>
      <c r="F4" s="72" t="n">
        <v>3767.33</v>
      </c>
      <c r="G4" s="69" t="s">
        <v>153</v>
      </c>
      <c r="H4" s="69" t="s">
        <v>29</v>
      </c>
      <c r="I4" s="71" t="n">
        <f aca="false">E4*F4</f>
        <v>17329718</v>
      </c>
    </row>
    <row r="5" customFormat="false" ht="15" hidden="false" customHeight="false" outlineLevel="0" collapsed="false">
      <c r="A5" s="69" t="s">
        <v>154</v>
      </c>
      <c r="B5" s="70" t="n">
        <v>45993</v>
      </c>
      <c r="C5" s="69" t="s">
        <v>145</v>
      </c>
      <c r="D5" s="69" t="s">
        <v>155</v>
      </c>
      <c r="E5" s="71" t="n">
        <v>2700</v>
      </c>
      <c r="F5" s="72" t="n">
        <v>5104.7</v>
      </c>
      <c r="G5" s="69" t="s">
        <v>153</v>
      </c>
      <c r="H5" s="69" t="s">
        <v>29</v>
      </c>
      <c r="I5" s="71" t="n">
        <f aca="false">E5*F5</f>
        <v>13782690</v>
      </c>
    </row>
    <row r="6" customFormat="false" ht="15" hidden="false" customHeight="false" outlineLevel="0" collapsed="false">
      <c r="A6" s="69" t="s">
        <v>156</v>
      </c>
      <c r="B6" s="70" t="n">
        <v>45874</v>
      </c>
      <c r="C6" s="69" t="s">
        <v>157</v>
      </c>
      <c r="D6" s="69" t="s">
        <v>155</v>
      </c>
      <c r="E6" s="71" t="n">
        <v>9400</v>
      </c>
      <c r="F6" s="72" t="n">
        <v>1114.15</v>
      </c>
      <c r="G6" s="69" t="s">
        <v>158</v>
      </c>
      <c r="H6" s="69" t="s">
        <v>29</v>
      </c>
      <c r="I6" s="71" t="n">
        <f aca="false">E6*F6</f>
        <v>10473010</v>
      </c>
    </row>
    <row r="7" customFormat="false" ht="15" hidden="false" customHeight="false" outlineLevel="0" collapsed="false">
      <c r="A7" s="69" t="s">
        <v>159</v>
      </c>
      <c r="B7" s="70" t="n">
        <v>45784</v>
      </c>
      <c r="C7" s="69" t="s">
        <v>157</v>
      </c>
      <c r="D7" s="69" t="s">
        <v>160</v>
      </c>
      <c r="E7" s="71" t="n">
        <v>8700</v>
      </c>
      <c r="F7" s="72" t="n">
        <v>1151.06</v>
      </c>
      <c r="G7" s="69" t="s">
        <v>161</v>
      </c>
      <c r="H7" s="69" t="s">
        <v>29</v>
      </c>
      <c r="I7" s="71" t="n">
        <f aca="false">E7*F7</f>
        <v>10014222</v>
      </c>
    </row>
    <row r="8" customFormat="false" ht="15" hidden="false" customHeight="false" outlineLevel="0" collapsed="false">
      <c r="A8" s="69" t="s">
        <v>162</v>
      </c>
      <c r="B8" s="70" t="n">
        <v>45738</v>
      </c>
      <c r="C8" s="69" t="s">
        <v>157</v>
      </c>
      <c r="D8" s="69" t="s">
        <v>163</v>
      </c>
      <c r="E8" s="71" t="n">
        <v>5900</v>
      </c>
      <c r="F8" s="72" t="n">
        <v>1358.05</v>
      </c>
      <c r="G8" s="69" t="s">
        <v>150</v>
      </c>
      <c r="H8" s="69" t="s">
        <v>29</v>
      </c>
      <c r="I8" s="71" t="n">
        <f aca="false">E8*F8</f>
        <v>8012495</v>
      </c>
    </row>
    <row r="9" customFormat="false" ht="15" hidden="false" customHeight="false" outlineLevel="0" collapsed="false">
      <c r="A9" s="69" t="s">
        <v>164</v>
      </c>
      <c r="B9" s="70" t="n">
        <v>45863</v>
      </c>
      <c r="C9" s="69" t="s">
        <v>157</v>
      </c>
      <c r="D9" s="69" t="s">
        <v>165</v>
      </c>
      <c r="E9" s="71" t="n">
        <v>5900</v>
      </c>
      <c r="F9" s="72" t="n">
        <v>1126.04</v>
      </c>
      <c r="G9" s="69" t="s">
        <v>166</v>
      </c>
      <c r="H9" s="69" t="s">
        <v>29</v>
      </c>
      <c r="I9" s="71" t="n">
        <f aca="false">E9*F9</f>
        <v>6643636</v>
      </c>
    </row>
    <row r="10" customFormat="false" ht="15" hidden="false" customHeight="false" outlineLevel="0" collapsed="false">
      <c r="A10" s="69" t="s">
        <v>167</v>
      </c>
      <c r="B10" s="70" t="n">
        <v>45843</v>
      </c>
      <c r="C10" s="69" t="s">
        <v>168</v>
      </c>
      <c r="D10" s="69" t="s">
        <v>169</v>
      </c>
      <c r="E10" s="71" t="n">
        <v>9800</v>
      </c>
      <c r="F10" s="72" t="n">
        <v>639.41</v>
      </c>
      <c r="G10" s="69" t="s">
        <v>166</v>
      </c>
      <c r="H10" s="69" t="s">
        <v>29</v>
      </c>
      <c r="I10" s="71" t="n">
        <f aca="false">E10*F10</f>
        <v>6266218</v>
      </c>
    </row>
    <row r="11" customFormat="false" ht="15" hidden="false" customHeight="false" outlineLevel="0" collapsed="false">
      <c r="A11" s="69" t="s">
        <v>170</v>
      </c>
      <c r="B11" s="70" t="n">
        <v>45508</v>
      </c>
      <c r="C11" s="69" t="s">
        <v>145</v>
      </c>
      <c r="D11" s="69" t="s">
        <v>171</v>
      </c>
      <c r="E11" s="71" t="n">
        <v>74</v>
      </c>
      <c r="F11" s="72" t="n">
        <v>75303.33</v>
      </c>
      <c r="G11" s="69" t="s">
        <v>161</v>
      </c>
      <c r="H11" s="69" t="s">
        <v>28</v>
      </c>
      <c r="I11" s="71" t="n">
        <f aca="false">E11*F11</f>
        <v>5572446.42</v>
      </c>
    </row>
    <row r="12" customFormat="false" ht="15" hidden="false" customHeight="false" outlineLevel="0" collapsed="false">
      <c r="A12" s="69" t="s">
        <v>172</v>
      </c>
      <c r="B12" s="70" t="n">
        <v>45653</v>
      </c>
      <c r="C12" s="69" t="s">
        <v>157</v>
      </c>
      <c r="D12" s="69" t="s">
        <v>173</v>
      </c>
      <c r="E12" s="71" t="n">
        <v>3100</v>
      </c>
      <c r="F12" s="72" t="n">
        <v>1538.91</v>
      </c>
      <c r="G12" s="69" t="s">
        <v>153</v>
      </c>
      <c r="H12" s="69" t="s">
        <v>29</v>
      </c>
      <c r="I12" s="71" t="n">
        <f aca="false">E12*F12</f>
        <v>4770621</v>
      </c>
    </row>
    <row r="13" customFormat="false" ht="15" hidden="false" customHeight="false" outlineLevel="0" collapsed="false">
      <c r="A13" s="69" t="s">
        <v>174</v>
      </c>
      <c r="B13" s="70" t="n">
        <v>45674</v>
      </c>
      <c r="C13" s="69" t="s">
        <v>157</v>
      </c>
      <c r="D13" s="69" t="s">
        <v>175</v>
      </c>
      <c r="E13" s="71" t="n">
        <v>3300</v>
      </c>
      <c r="F13" s="72" t="n">
        <v>1348.4</v>
      </c>
      <c r="G13" s="69" t="s">
        <v>147</v>
      </c>
      <c r="H13" s="69" t="s">
        <v>29</v>
      </c>
      <c r="I13" s="71" t="n">
        <f aca="false">E13*F13</f>
        <v>4449720</v>
      </c>
    </row>
    <row r="14" customFormat="false" ht="15" hidden="false" customHeight="false" outlineLevel="0" collapsed="false">
      <c r="A14" s="69" t="s">
        <v>176</v>
      </c>
      <c r="B14" s="70" t="n">
        <v>45650</v>
      </c>
      <c r="C14" s="69" t="s">
        <v>145</v>
      </c>
      <c r="D14" s="69" t="s">
        <v>155</v>
      </c>
      <c r="E14" s="71" t="n">
        <v>1100</v>
      </c>
      <c r="F14" s="72" t="n">
        <v>4043.66</v>
      </c>
      <c r="G14" s="69" t="s">
        <v>177</v>
      </c>
      <c r="H14" s="69" t="s">
        <v>29</v>
      </c>
      <c r="I14" s="71" t="n">
        <f aca="false">E14*F14</f>
        <v>4448026</v>
      </c>
    </row>
    <row r="15" customFormat="false" ht="15" hidden="false" customHeight="false" outlineLevel="0" collapsed="false">
      <c r="A15" s="69" t="s">
        <v>178</v>
      </c>
      <c r="B15" s="70" t="n">
        <v>45561</v>
      </c>
      <c r="C15" s="69" t="s">
        <v>168</v>
      </c>
      <c r="D15" s="69" t="s">
        <v>149</v>
      </c>
      <c r="E15" s="71" t="n">
        <v>5500</v>
      </c>
      <c r="F15" s="72" t="n">
        <v>715.8</v>
      </c>
      <c r="G15" s="69" t="s">
        <v>179</v>
      </c>
      <c r="H15" s="69" t="s">
        <v>29</v>
      </c>
      <c r="I15" s="71" t="n">
        <f aca="false">E15*F15</f>
        <v>3936900</v>
      </c>
    </row>
    <row r="16" customFormat="false" ht="15" hidden="false" customHeight="false" outlineLevel="0" collapsed="false">
      <c r="A16" s="69" t="s">
        <v>180</v>
      </c>
      <c r="B16" s="70" t="n">
        <v>45688</v>
      </c>
      <c r="C16" s="69" t="s">
        <v>81</v>
      </c>
      <c r="D16" s="69" t="s">
        <v>181</v>
      </c>
      <c r="E16" s="71" t="n">
        <v>9900</v>
      </c>
      <c r="F16" s="72" t="n">
        <v>307.52</v>
      </c>
      <c r="G16" s="69" t="s">
        <v>150</v>
      </c>
      <c r="H16" s="69" t="s">
        <v>29</v>
      </c>
      <c r="I16" s="71" t="n">
        <f aca="false">E16*F16</f>
        <v>3044448</v>
      </c>
    </row>
    <row r="17" customFormat="false" ht="15" hidden="false" customHeight="false" outlineLevel="0" collapsed="false">
      <c r="A17" s="69" t="s">
        <v>182</v>
      </c>
      <c r="B17" s="70" t="n">
        <v>45483</v>
      </c>
      <c r="C17" s="69" t="s">
        <v>145</v>
      </c>
      <c r="D17" s="69" t="s">
        <v>183</v>
      </c>
      <c r="E17" s="71" t="n">
        <v>44</v>
      </c>
      <c r="F17" s="72" t="n">
        <v>63495.77</v>
      </c>
      <c r="G17" s="69" t="s">
        <v>184</v>
      </c>
      <c r="H17" s="69" t="s">
        <v>28</v>
      </c>
      <c r="I17" s="71" t="n">
        <f aca="false">E17*F17</f>
        <v>2793813.88</v>
      </c>
    </row>
    <row r="18" customFormat="false" ht="15" hidden="false" customHeight="false" outlineLevel="0" collapsed="false">
      <c r="A18" s="69" t="s">
        <v>185</v>
      </c>
      <c r="B18" s="70" t="n">
        <v>46011</v>
      </c>
      <c r="C18" s="69" t="s">
        <v>81</v>
      </c>
      <c r="D18" s="69" t="s">
        <v>186</v>
      </c>
      <c r="E18" s="71" t="n">
        <v>7700</v>
      </c>
      <c r="F18" s="72" t="n">
        <v>279.64</v>
      </c>
      <c r="G18" s="69" t="s">
        <v>161</v>
      </c>
      <c r="H18" s="69" t="s">
        <v>29</v>
      </c>
      <c r="I18" s="71" t="n">
        <f aca="false">E18*F18</f>
        <v>2153228</v>
      </c>
    </row>
    <row r="19" customFormat="false" ht="15" hidden="false" customHeight="false" outlineLevel="0" collapsed="false">
      <c r="A19" s="69" t="s">
        <v>187</v>
      </c>
      <c r="B19" s="70" t="n">
        <v>45687</v>
      </c>
      <c r="C19" s="69" t="s">
        <v>157</v>
      </c>
      <c r="D19" s="69" t="s">
        <v>188</v>
      </c>
      <c r="E19" s="71" t="n">
        <v>90</v>
      </c>
      <c r="F19" s="72" t="n">
        <v>23562.25</v>
      </c>
      <c r="G19" s="69" t="s">
        <v>177</v>
      </c>
      <c r="H19" s="69" t="s">
        <v>28</v>
      </c>
      <c r="I19" s="71" t="n">
        <f aca="false">E19*F19</f>
        <v>2120602.5</v>
      </c>
    </row>
    <row r="20" customFormat="false" ht="15" hidden="false" customHeight="false" outlineLevel="0" collapsed="false">
      <c r="A20" s="69" t="s">
        <v>189</v>
      </c>
      <c r="B20" s="70" t="n">
        <v>45752</v>
      </c>
      <c r="C20" s="69" t="s">
        <v>145</v>
      </c>
      <c r="D20" s="69" t="s">
        <v>152</v>
      </c>
      <c r="E20" s="71" t="n">
        <v>29</v>
      </c>
      <c r="F20" s="72" t="n">
        <v>69778.63</v>
      </c>
      <c r="G20" s="69" t="s">
        <v>184</v>
      </c>
      <c r="H20" s="69" t="s">
        <v>28</v>
      </c>
      <c r="I20" s="71" t="n">
        <f aca="false">E20*F20</f>
        <v>2023580.27</v>
      </c>
    </row>
    <row r="21" customFormat="false" ht="15" hidden="false" customHeight="false" outlineLevel="0" collapsed="false">
      <c r="A21" s="69" t="s">
        <v>190</v>
      </c>
      <c r="B21" s="70" t="n">
        <v>45299</v>
      </c>
      <c r="C21" s="69" t="s">
        <v>81</v>
      </c>
      <c r="D21" s="69" t="s">
        <v>191</v>
      </c>
      <c r="E21" s="71" t="n">
        <v>8100</v>
      </c>
      <c r="F21" s="72" t="n">
        <v>247.2</v>
      </c>
      <c r="G21" s="69" t="s">
        <v>150</v>
      </c>
      <c r="H21" s="69" t="s">
        <v>29</v>
      </c>
      <c r="I21" s="71" t="n">
        <f aca="false">E21*F21</f>
        <v>2002320</v>
      </c>
    </row>
    <row r="22" customFormat="false" ht="15" hidden="false" customHeight="false" outlineLevel="0" collapsed="false">
      <c r="A22" s="69" t="s">
        <v>192</v>
      </c>
      <c r="B22" s="70" t="n">
        <v>45370</v>
      </c>
      <c r="C22" s="69" t="s">
        <v>145</v>
      </c>
      <c r="D22" s="69" t="s">
        <v>193</v>
      </c>
      <c r="E22" s="71" t="n">
        <v>24</v>
      </c>
      <c r="F22" s="72" t="n">
        <v>62597.24</v>
      </c>
      <c r="G22" s="69" t="s">
        <v>147</v>
      </c>
      <c r="H22" s="69" t="s">
        <v>28</v>
      </c>
      <c r="I22" s="71" t="n">
        <f aca="false">E22*F22</f>
        <v>1502333.76</v>
      </c>
    </row>
    <row r="23" customFormat="false" ht="15" hidden="false" customHeight="false" outlineLevel="0" collapsed="false">
      <c r="A23" s="69" t="s">
        <v>194</v>
      </c>
      <c r="B23" s="70" t="n">
        <v>45450</v>
      </c>
      <c r="C23" s="69" t="s">
        <v>79</v>
      </c>
      <c r="D23" s="69" t="s">
        <v>173</v>
      </c>
      <c r="E23" s="71" t="n">
        <v>8200</v>
      </c>
      <c r="F23" s="72" t="n">
        <v>179.95</v>
      </c>
      <c r="G23" s="69" t="s">
        <v>147</v>
      </c>
      <c r="H23" s="69" t="s">
        <v>29</v>
      </c>
      <c r="I23" s="71" t="n">
        <f aca="false">E23*F23</f>
        <v>1475590</v>
      </c>
    </row>
    <row r="24" customFormat="false" ht="15" hidden="false" customHeight="false" outlineLevel="0" collapsed="false">
      <c r="A24" s="69" t="s">
        <v>195</v>
      </c>
      <c r="B24" s="70" t="n">
        <v>45360</v>
      </c>
      <c r="C24" s="69" t="s">
        <v>145</v>
      </c>
      <c r="D24" s="69" t="s">
        <v>193</v>
      </c>
      <c r="E24" s="71" t="n">
        <v>22</v>
      </c>
      <c r="F24" s="72" t="n">
        <v>62777.2</v>
      </c>
      <c r="G24" s="69" t="s">
        <v>150</v>
      </c>
      <c r="H24" s="69" t="s">
        <v>28</v>
      </c>
      <c r="I24" s="71" t="n">
        <f aca="false">E24*F24</f>
        <v>1381098.4</v>
      </c>
    </row>
    <row r="25" customFormat="false" ht="15" hidden="false" customHeight="false" outlineLevel="0" collapsed="false">
      <c r="A25" s="69" t="s">
        <v>196</v>
      </c>
      <c r="B25" s="70" t="n">
        <v>45745</v>
      </c>
      <c r="C25" s="69" t="s">
        <v>145</v>
      </c>
      <c r="D25" s="69" t="s">
        <v>197</v>
      </c>
      <c r="E25" s="71" t="n">
        <v>25</v>
      </c>
      <c r="F25" s="72" t="n">
        <v>55071.02</v>
      </c>
      <c r="G25" s="69" t="s">
        <v>166</v>
      </c>
      <c r="H25" s="69" t="s">
        <v>28</v>
      </c>
      <c r="I25" s="71" t="n">
        <f aca="false">E25*F25</f>
        <v>1376775.5</v>
      </c>
    </row>
    <row r="26" customFormat="false" ht="15" hidden="false" customHeight="false" outlineLevel="0" collapsed="false">
      <c r="A26" s="69" t="s">
        <v>198</v>
      </c>
      <c r="B26" s="70" t="n">
        <v>45389</v>
      </c>
      <c r="C26" s="69" t="s">
        <v>157</v>
      </c>
      <c r="D26" s="69" t="s">
        <v>199</v>
      </c>
      <c r="E26" s="71" t="n">
        <v>56</v>
      </c>
      <c r="F26" s="72" t="n">
        <v>23675.92</v>
      </c>
      <c r="G26" s="69" t="s">
        <v>147</v>
      </c>
      <c r="H26" s="69" t="s">
        <v>28</v>
      </c>
      <c r="I26" s="71" t="n">
        <f aca="false">E26*F26</f>
        <v>1325851.52</v>
      </c>
    </row>
    <row r="27" customFormat="false" ht="15" hidden="false" customHeight="false" outlineLevel="0" collapsed="false">
      <c r="A27" s="69" t="s">
        <v>200</v>
      </c>
      <c r="B27" s="70" t="n">
        <v>45924</v>
      </c>
      <c r="C27" s="69" t="s">
        <v>157</v>
      </c>
      <c r="D27" s="69" t="s">
        <v>173</v>
      </c>
      <c r="E27" s="71" t="n">
        <v>59</v>
      </c>
      <c r="F27" s="72" t="n">
        <v>20662.74</v>
      </c>
      <c r="G27" s="69" t="s">
        <v>158</v>
      </c>
      <c r="H27" s="69" t="s">
        <v>28</v>
      </c>
      <c r="I27" s="71" t="n">
        <f aca="false">E27*F27</f>
        <v>1219101.66</v>
      </c>
    </row>
    <row r="28" customFormat="false" ht="15" hidden="false" customHeight="false" outlineLevel="0" collapsed="false">
      <c r="A28" s="69" t="s">
        <v>201</v>
      </c>
      <c r="B28" s="70" t="n">
        <v>45713</v>
      </c>
      <c r="C28" s="69" t="s">
        <v>79</v>
      </c>
      <c r="D28" s="69" t="s">
        <v>202</v>
      </c>
      <c r="E28" s="71" t="n">
        <v>7200</v>
      </c>
      <c r="F28" s="72" t="n">
        <v>150.28</v>
      </c>
      <c r="G28" s="69" t="s">
        <v>153</v>
      </c>
      <c r="H28" s="69" t="s">
        <v>29</v>
      </c>
      <c r="I28" s="71" t="n">
        <f aca="false">E28*F28</f>
        <v>1082016</v>
      </c>
    </row>
    <row r="29" customFormat="false" ht="15" hidden="false" customHeight="false" outlineLevel="0" collapsed="false">
      <c r="A29" s="69" t="s">
        <v>203</v>
      </c>
      <c r="B29" s="70" t="n">
        <v>45752</v>
      </c>
      <c r="C29" s="69" t="s">
        <v>79</v>
      </c>
      <c r="D29" s="69" t="s">
        <v>149</v>
      </c>
      <c r="E29" s="71" t="n">
        <v>5200</v>
      </c>
      <c r="F29" s="72" t="n">
        <v>198.5</v>
      </c>
      <c r="G29" s="69" t="s">
        <v>153</v>
      </c>
      <c r="H29" s="69" t="s">
        <v>29</v>
      </c>
      <c r="I29" s="71" t="n">
        <f aca="false">E29*F29</f>
        <v>1032200</v>
      </c>
    </row>
    <row r="30" customFormat="false" ht="15" hidden="false" customHeight="false" outlineLevel="0" collapsed="false">
      <c r="A30" s="69" t="s">
        <v>204</v>
      </c>
      <c r="B30" s="70" t="n">
        <v>45330</v>
      </c>
      <c r="C30" s="69" t="s">
        <v>157</v>
      </c>
      <c r="D30" s="69" t="s">
        <v>175</v>
      </c>
      <c r="E30" s="71" t="n">
        <v>50</v>
      </c>
      <c r="F30" s="72" t="n">
        <v>18087.95</v>
      </c>
      <c r="G30" s="69" t="s">
        <v>153</v>
      </c>
      <c r="H30" s="69" t="s">
        <v>28</v>
      </c>
      <c r="I30" s="71" t="n">
        <f aca="false">E30*F30</f>
        <v>904397.5</v>
      </c>
    </row>
    <row r="31" customFormat="false" ht="15" hidden="false" customHeight="false" outlineLevel="0" collapsed="false">
      <c r="A31" s="69" t="s">
        <v>205</v>
      </c>
      <c r="B31" s="70" t="n">
        <v>46015</v>
      </c>
      <c r="C31" s="69" t="s">
        <v>157</v>
      </c>
      <c r="D31" s="69" t="s">
        <v>206</v>
      </c>
      <c r="E31" s="71" t="n">
        <v>39</v>
      </c>
      <c r="F31" s="72" t="n">
        <v>20213.27</v>
      </c>
      <c r="G31" s="69" t="s">
        <v>166</v>
      </c>
      <c r="H31" s="69" t="s">
        <v>28</v>
      </c>
      <c r="I31" s="71" t="n">
        <f aca="false">E31*F31</f>
        <v>788317.53</v>
      </c>
    </row>
    <row r="32" customFormat="false" ht="15" hidden="false" customHeight="false" outlineLevel="0" collapsed="false">
      <c r="A32" s="69" t="s">
        <v>207</v>
      </c>
      <c r="B32" s="70" t="n">
        <v>45661</v>
      </c>
      <c r="C32" s="69" t="s">
        <v>157</v>
      </c>
      <c r="D32" s="69" t="s">
        <v>206</v>
      </c>
      <c r="E32" s="71" t="n">
        <v>37</v>
      </c>
      <c r="F32" s="72" t="n">
        <v>18812.55</v>
      </c>
      <c r="G32" s="69" t="s">
        <v>179</v>
      </c>
      <c r="H32" s="69" t="s">
        <v>28</v>
      </c>
      <c r="I32" s="71" t="n">
        <f aca="false">E32*F32</f>
        <v>696064.35</v>
      </c>
    </row>
    <row r="33" customFormat="false" ht="15" hidden="false" customHeight="false" outlineLevel="0" collapsed="false">
      <c r="A33" s="69" t="s">
        <v>208</v>
      </c>
      <c r="B33" s="70" t="n">
        <v>45468</v>
      </c>
      <c r="C33" s="69" t="s">
        <v>79</v>
      </c>
      <c r="D33" s="69" t="s">
        <v>193</v>
      </c>
      <c r="E33" s="71" t="n">
        <v>3400</v>
      </c>
      <c r="F33" s="72" t="n">
        <v>199.64</v>
      </c>
      <c r="G33" s="69" t="s">
        <v>177</v>
      </c>
      <c r="H33" s="69" t="s">
        <v>29</v>
      </c>
      <c r="I33" s="71" t="n">
        <f aca="false">E33*F33</f>
        <v>678776</v>
      </c>
    </row>
    <row r="34" customFormat="false" ht="15" hidden="false" customHeight="false" outlineLevel="0" collapsed="false">
      <c r="A34" s="69" t="s">
        <v>209</v>
      </c>
      <c r="B34" s="70" t="n">
        <v>45376</v>
      </c>
      <c r="C34" s="69" t="s">
        <v>79</v>
      </c>
      <c r="D34" s="69" t="s">
        <v>173</v>
      </c>
      <c r="E34" s="71" t="n">
        <v>3200</v>
      </c>
      <c r="F34" s="72" t="n">
        <v>196.33</v>
      </c>
      <c r="G34" s="69" t="s">
        <v>150</v>
      </c>
      <c r="H34" s="69" t="s">
        <v>29</v>
      </c>
      <c r="I34" s="71" t="n">
        <f aca="false">E34*F34</f>
        <v>628256</v>
      </c>
    </row>
    <row r="35" customFormat="false" ht="15" hidden="false" customHeight="false" outlineLevel="0" collapsed="false">
      <c r="A35" s="69" t="s">
        <v>210</v>
      </c>
      <c r="B35" s="70" t="n">
        <v>45371</v>
      </c>
      <c r="C35" s="69" t="s">
        <v>77</v>
      </c>
      <c r="D35" s="69" t="s">
        <v>183</v>
      </c>
      <c r="E35" s="71" t="n">
        <v>9900</v>
      </c>
      <c r="F35" s="72" t="n">
        <v>54.41</v>
      </c>
      <c r="G35" s="69" t="s">
        <v>177</v>
      </c>
      <c r="H35" s="69" t="s">
        <v>29</v>
      </c>
      <c r="I35" s="71" t="n">
        <f aca="false">E35*F35</f>
        <v>538659</v>
      </c>
    </row>
    <row r="36" customFormat="false" ht="15" hidden="false" customHeight="false" outlineLevel="0" collapsed="false">
      <c r="A36" s="69" t="s">
        <v>211</v>
      </c>
      <c r="B36" s="70" t="n">
        <v>45949</v>
      </c>
      <c r="C36" s="69" t="s">
        <v>79</v>
      </c>
      <c r="D36" s="69" t="s">
        <v>165</v>
      </c>
      <c r="E36" s="71" t="n">
        <v>2900</v>
      </c>
      <c r="F36" s="72" t="n">
        <v>181.29</v>
      </c>
      <c r="G36" s="69" t="s">
        <v>158</v>
      </c>
      <c r="H36" s="69" t="s">
        <v>29</v>
      </c>
      <c r="I36" s="71" t="n">
        <f aca="false">E36*F36</f>
        <v>525741</v>
      </c>
    </row>
    <row r="37" customFormat="false" ht="15" hidden="false" customHeight="false" outlineLevel="0" collapsed="false">
      <c r="A37" s="69" t="s">
        <v>212</v>
      </c>
      <c r="B37" s="70" t="n">
        <v>45874</v>
      </c>
      <c r="C37" s="69" t="s">
        <v>157</v>
      </c>
      <c r="D37" s="69" t="s">
        <v>213</v>
      </c>
      <c r="E37" s="71" t="n">
        <v>25</v>
      </c>
      <c r="F37" s="72" t="n">
        <v>20370.08</v>
      </c>
      <c r="G37" s="69" t="s">
        <v>166</v>
      </c>
      <c r="H37" s="69" t="s">
        <v>28</v>
      </c>
      <c r="I37" s="71" t="n">
        <f aca="false">E37*F37</f>
        <v>509252</v>
      </c>
    </row>
    <row r="38" customFormat="false" ht="15" hidden="false" customHeight="false" outlineLevel="0" collapsed="false">
      <c r="A38" s="69" t="s">
        <v>214</v>
      </c>
      <c r="B38" s="70" t="n">
        <v>45432</v>
      </c>
      <c r="C38" s="69" t="s">
        <v>81</v>
      </c>
      <c r="D38" s="69" t="s">
        <v>169</v>
      </c>
      <c r="E38" s="71" t="n">
        <v>99</v>
      </c>
      <c r="F38" s="72" t="n">
        <v>4924.59</v>
      </c>
      <c r="G38" s="69" t="s">
        <v>158</v>
      </c>
      <c r="H38" s="69" t="s">
        <v>28</v>
      </c>
      <c r="I38" s="71" t="n">
        <f aca="false">E38*F38</f>
        <v>487534.41</v>
      </c>
    </row>
    <row r="39" customFormat="false" ht="15" hidden="false" customHeight="false" outlineLevel="0" collapsed="false">
      <c r="A39" s="69" t="s">
        <v>215</v>
      </c>
      <c r="B39" s="70" t="n">
        <v>45964</v>
      </c>
      <c r="C39" s="69" t="s">
        <v>81</v>
      </c>
      <c r="D39" s="69" t="s">
        <v>213</v>
      </c>
      <c r="E39" s="71" t="n">
        <v>96</v>
      </c>
      <c r="F39" s="72" t="n">
        <v>4895.14</v>
      </c>
      <c r="G39" s="69" t="s">
        <v>216</v>
      </c>
      <c r="H39" s="69" t="s">
        <v>28</v>
      </c>
      <c r="I39" s="71" t="n">
        <f aca="false">E39*F39</f>
        <v>469933.44</v>
      </c>
    </row>
    <row r="40" customFormat="false" ht="15" hidden="false" customHeight="false" outlineLevel="0" collapsed="false">
      <c r="A40" s="69" t="s">
        <v>217</v>
      </c>
      <c r="B40" s="70" t="n">
        <v>45532</v>
      </c>
      <c r="C40" s="69" t="s">
        <v>168</v>
      </c>
      <c r="D40" s="69" t="s">
        <v>218</v>
      </c>
      <c r="E40" s="71" t="n">
        <v>600</v>
      </c>
      <c r="F40" s="72" t="n">
        <v>699.94</v>
      </c>
      <c r="G40" s="69" t="s">
        <v>161</v>
      </c>
      <c r="H40" s="69" t="s">
        <v>29</v>
      </c>
      <c r="I40" s="71" t="n">
        <f aca="false">E40*F40</f>
        <v>419964</v>
      </c>
    </row>
    <row r="41" customFormat="false" ht="15" hidden="false" customHeight="false" outlineLevel="0" collapsed="false">
      <c r="A41" s="69" t="s">
        <v>219</v>
      </c>
      <c r="B41" s="70" t="n">
        <v>45797</v>
      </c>
      <c r="C41" s="69" t="s">
        <v>81</v>
      </c>
      <c r="D41" s="69" t="s">
        <v>220</v>
      </c>
      <c r="E41" s="71" t="n">
        <v>88</v>
      </c>
      <c r="F41" s="72" t="n">
        <v>4767.5</v>
      </c>
      <c r="G41" s="69" t="s">
        <v>166</v>
      </c>
      <c r="H41" s="69" t="s">
        <v>28</v>
      </c>
      <c r="I41" s="71" t="n">
        <f aca="false">E41*F41</f>
        <v>419540</v>
      </c>
    </row>
    <row r="42" customFormat="false" ht="15" hidden="false" customHeight="false" outlineLevel="0" collapsed="false">
      <c r="A42" s="69" t="s">
        <v>221</v>
      </c>
      <c r="B42" s="70" t="n">
        <v>45845</v>
      </c>
      <c r="C42" s="69" t="s">
        <v>79</v>
      </c>
      <c r="D42" s="69" t="s">
        <v>222</v>
      </c>
      <c r="E42" s="71" t="n">
        <v>1800</v>
      </c>
      <c r="F42" s="72" t="n">
        <v>212.38</v>
      </c>
      <c r="G42" s="69" t="s">
        <v>158</v>
      </c>
      <c r="H42" s="69" t="s">
        <v>29</v>
      </c>
      <c r="I42" s="71" t="n">
        <f aca="false">E42*F42</f>
        <v>382284</v>
      </c>
    </row>
    <row r="43" customFormat="false" ht="15" hidden="false" customHeight="false" outlineLevel="0" collapsed="false">
      <c r="A43" s="69" t="s">
        <v>223</v>
      </c>
      <c r="B43" s="70" t="n">
        <v>45660</v>
      </c>
      <c r="C43" s="69" t="s">
        <v>77</v>
      </c>
      <c r="D43" s="69" t="s">
        <v>155</v>
      </c>
      <c r="E43" s="71" t="n">
        <v>7200</v>
      </c>
      <c r="F43" s="72" t="n">
        <v>47.58</v>
      </c>
      <c r="G43" s="69" t="s">
        <v>161</v>
      </c>
      <c r="H43" s="69" t="s">
        <v>29</v>
      </c>
      <c r="I43" s="71" t="n">
        <f aca="false">E43*F43</f>
        <v>342576</v>
      </c>
    </row>
    <row r="44" customFormat="false" ht="15" hidden="false" customHeight="false" outlineLevel="0" collapsed="false">
      <c r="A44" s="69" t="s">
        <v>224</v>
      </c>
      <c r="B44" s="70" t="n">
        <v>45545</v>
      </c>
      <c r="C44" s="69" t="s">
        <v>81</v>
      </c>
      <c r="D44" s="69" t="s">
        <v>225</v>
      </c>
      <c r="E44" s="71" t="n">
        <v>90</v>
      </c>
      <c r="F44" s="72" t="n">
        <v>3541.25</v>
      </c>
      <c r="G44" s="69" t="s">
        <v>147</v>
      </c>
      <c r="H44" s="69" t="s">
        <v>28</v>
      </c>
      <c r="I44" s="71" t="n">
        <f aca="false">E44*F44</f>
        <v>318712.5</v>
      </c>
    </row>
    <row r="45" customFormat="false" ht="15" hidden="false" customHeight="false" outlineLevel="0" collapsed="false">
      <c r="A45" s="69" t="s">
        <v>226</v>
      </c>
      <c r="B45" s="70" t="n">
        <v>45865</v>
      </c>
      <c r="C45" s="69" t="s">
        <v>168</v>
      </c>
      <c r="D45" s="69" t="s">
        <v>227</v>
      </c>
      <c r="E45" s="71" t="n">
        <v>25</v>
      </c>
      <c r="F45" s="72" t="n">
        <v>11742.37</v>
      </c>
      <c r="G45" s="69" t="s">
        <v>158</v>
      </c>
      <c r="H45" s="69" t="s">
        <v>28</v>
      </c>
      <c r="I45" s="71" t="n">
        <f aca="false">E45*F45</f>
        <v>293559.25</v>
      </c>
    </row>
    <row r="46" customFormat="false" ht="15" hidden="false" customHeight="false" outlineLevel="0" collapsed="false">
      <c r="A46" s="69" t="s">
        <v>228</v>
      </c>
      <c r="B46" s="70" t="n">
        <v>45479</v>
      </c>
      <c r="C46" s="69" t="s">
        <v>81</v>
      </c>
      <c r="D46" s="69" t="s">
        <v>229</v>
      </c>
      <c r="E46" s="71" t="n">
        <v>68</v>
      </c>
      <c r="F46" s="72" t="n">
        <v>4300.64</v>
      </c>
      <c r="G46" s="69" t="s">
        <v>177</v>
      </c>
      <c r="H46" s="69" t="s">
        <v>28</v>
      </c>
      <c r="I46" s="71" t="n">
        <f aca="false">E46*F46</f>
        <v>292443.52</v>
      </c>
    </row>
    <row r="47" customFormat="false" ht="15" hidden="false" customHeight="false" outlineLevel="0" collapsed="false">
      <c r="A47" s="69" t="s">
        <v>230</v>
      </c>
      <c r="B47" s="70" t="n">
        <v>45431</v>
      </c>
      <c r="C47" s="69" t="s">
        <v>81</v>
      </c>
      <c r="D47" s="69" t="s">
        <v>231</v>
      </c>
      <c r="E47" s="71" t="n">
        <v>74</v>
      </c>
      <c r="F47" s="72" t="n">
        <v>3740.93</v>
      </c>
      <c r="G47" s="69" t="s">
        <v>177</v>
      </c>
      <c r="H47" s="69" t="s">
        <v>28</v>
      </c>
      <c r="I47" s="71" t="n">
        <f aca="false">E47*F47</f>
        <v>276828.82</v>
      </c>
    </row>
    <row r="48" customFormat="false" ht="15" hidden="false" customHeight="false" outlineLevel="0" collapsed="false">
      <c r="A48" s="69" t="s">
        <v>232</v>
      </c>
      <c r="B48" s="70" t="n">
        <v>45892</v>
      </c>
      <c r="C48" s="69" t="s">
        <v>79</v>
      </c>
      <c r="D48" s="69" t="s">
        <v>206</v>
      </c>
      <c r="E48" s="71" t="n">
        <v>92</v>
      </c>
      <c r="F48" s="72" t="n">
        <v>2923.2</v>
      </c>
      <c r="G48" s="69" t="s">
        <v>216</v>
      </c>
      <c r="H48" s="69" t="s">
        <v>28</v>
      </c>
      <c r="I48" s="71" t="n">
        <f aca="false">E48*F48</f>
        <v>268934.4</v>
      </c>
    </row>
    <row r="49" customFormat="false" ht="15" hidden="false" customHeight="false" outlineLevel="0" collapsed="false">
      <c r="A49" s="69" t="s">
        <v>233</v>
      </c>
      <c r="B49" s="70" t="n">
        <v>45528</v>
      </c>
      <c r="C49" s="69" t="s">
        <v>81</v>
      </c>
      <c r="D49" s="69" t="s">
        <v>225</v>
      </c>
      <c r="E49" s="71" t="n">
        <v>800</v>
      </c>
      <c r="F49" s="72" t="n">
        <v>313.07</v>
      </c>
      <c r="G49" s="69" t="s">
        <v>184</v>
      </c>
      <c r="H49" s="69" t="s">
        <v>29</v>
      </c>
      <c r="I49" s="71" t="n">
        <f aca="false">E49*F49</f>
        <v>250456</v>
      </c>
    </row>
    <row r="50" customFormat="false" ht="15" hidden="false" customHeight="false" outlineLevel="0" collapsed="false">
      <c r="A50" s="69" t="s">
        <v>234</v>
      </c>
      <c r="B50" s="70" t="n">
        <v>45945</v>
      </c>
      <c r="C50" s="69" t="s">
        <v>81</v>
      </c>
      <c r="D50" s="69" t="s">
        <v>171</v>
      </c>
      <c r="E50" s="71" t="n">
        <v>62</v>
      </c>
      <c r="F50" s="72" t="n">
        <v>3488.53</v>
      </c>
      <c r="G50" s="69" t="s">
        <v>179</v>
      </c>
      <c r="H50" s="69" t="s">
        <v>28</v>
      </c>
      <c r="I50" s="71" t="n">
        <f aca="false">E50*F50</f>
        <v>216288.86</v>
      </c>
    </row>
    <row r="51" customFormat="false" ht="15" hidden="false" customHeight="false" outlineLevel="0" collapsed="false">
      <c r="A51" s="69" t="s">
        <v>235</v>
      </c>
      <c r="B51" s="70" t="n">
        <v>45845</v>
      </c>
      <c r="C51" s="69" t="s">
        <v>77</v>
      </c>
      <c r="D51" s="69" t="s">
        <v>188</v>
      </c>
      <c r="E51" s="71" t="n">
        <v>3900</v>
      </c>
      <c r="F51" s="72" t="n">
        <v>51.71</v>
      </c>
      <c r="G51" s="69" t="s">
        <v>166</v>
      </c>
      <c r="H51" s="69" t="s">
        <v>29</v>
      </c>
      <c r="I51" s="71" t="n">
        <f aca="false">E51*F51</f>
        <v>201669</v>
      </c>
    </row>
    <row r="52" customFormat="false" ht="15" hidden="false" customHeight="false" outlineLevel="0" collapsed="false">
      <c r="A52" s="69" t="s">
        <v>236</v>
      </c>
      <c r="B52" s="70" t="n">
        <v>45789</v>
      </c>
      <c r="C52" s="69" t="s">
        <v>79</v>
      </c>
      <c r="D52" s="69" t="s">
        <v>202</v>
      </c>
      <c r="E52" s="71" t="n">
        <v>69</v>
      </c>
      <c r="F52" s="72" t="n">
        <v>2755.02</v>
      </c>
      <c r="G52" s="69" t="s">
        <v>184</v>
      </c>
      <c r="H52" s="69" t="s">
        <v>28</v>
      </c>
      <c r="I52" s="71" t="n">
        <f aca="false">E52*F52</f>
        <v>190096.38</v>
      </c>
    </row>
    <row r="53" customFormat="false" ht="15" hidden="false" customHeight="false" outlineLevel="0" collapsed="false">
      <c r="A53" s="69" t="s">
        <v>237</v>
      </c>
      <c r="B53" s="70" t="n">
        <v>45361</v>
      </c>
      <c r="C53" s="69" t="s">
        <v>77</v>
      </c>
      <c r="D53" s="69" t="s">
        <v>238</v>
      </c>
      <c r="E53" s="71" t="n">
        <v>3600</v>
      </c>
      <c r="F53" s="72" t="n">
        <v>51.52</v>
      </c>
      <c r="G53" s="69" t="s">
        <v>184</v>
      </c>
      <c r="H53" s="69" t="s">
        <v>29</v>
      </c>
      <c r="I53" s="71" t="n">
        <f aca="false">E53*F53</f>
        <v>185472</v>
      </c>
    </row>
    <row r="54" customFormat="false" ht="15" hidden="false" customHeight="false" outlineLevel="0" collapsed="false">
      <c r="A54" s="69" t="s">
        <v>239</v>
      </c>
      <c r="B54" s="70" t="n">
        <v>45506</v>
      </c>
      <c r="C54" s="69" t="s">
        <v>81</v>
      </c>
      <c r="D54" s="69" t="s">
        <v>240</v>
      </c>
      <c r="E54" s="71" t="n">
        <v>44</v>
      </c>
      <c r="F54" s="72" t="n">
        <v>4009.07</v>
      </c>
      <c r="G54" s="69" t="s">
        <v>158</v>
      </c>
      <c r="H54" s="69" t="s">
        <v>28</v>
      </c>
      <c r="I54" s="71" t="n">
        <f aca="false">E54*F54</f>
        <v>176399.08</v>
      </c>
    </row>
    <row r="55" customFormat="false" ht="15" hidden="false" customHeight="false" outlineLevel="0" collapsed="false">
      <c r="A55" s="69" t="s">
        <v>241</v>
      </c>
      <c r="B55" s="70" t="n">
        <v>45408</v>
      </c>
      <c r="C55" s="69" t="s">
        <v>81</v>
      </c>
      <c r="D55" s="69" t="s">
        <v>206</v>
      </c>
      <c r="E55" s="71" t="n">
        <v>40</v>
      </c>
      <c r="F55" s="72" t="n">
        <v>4175.06</v>
      </c>
      <c r="G55" s="69" t="s">
        <v>150</v>
      </c>
      <c r="H55" s="69" t="s">
        <v>28</v>
      </c>
      <c r="I55" s="71" t="n">
        <f aca="false">E55*F55</f>
        <v>167002.4</v>
      </c>
    </row>
    <row r="56" customFormat="false" ht="15" hidden="false" customHeight="false" outlineLevel="0" collapsed="false">
      <c r="A56" s="69" t="s">
        <v>242</v>
      </c>
      <c r="B56" s="70" t="n">
        <v>45406</v>
      </c>
      <c r="C56" s="69" t="s">
        <v>168</v>
      </c>
      <c r="D56" s="69" t="s">
        <v>243</v>
      </c>
      <c r="E56" s="71" t="n">
        <v>16</v>
      </c>
      <c r="F56" s="72" t="n">
        <v>10090.07</v>
      </c>
      <c r="G56" s="69" t="s">
        <v>179</v>
      </c>
      <c r="H56" s="69" t="s">
        <v>28</v>
      </c>
      <c r="I56" s="71" t="n">
        <f aca="false">E56*F56</f>
        <v>161441.12</v>
      </c>
    </row>
    <row r="57" customFormat="false" ht="15" hidden="false" customHeight="false" outlineLevel="0" collapsed="false">
      <c r="A57" s="69" t="s">
        <v>244</v>
      </c>
      <c r="B57" s="70" t="n">
        <v>45871</v>
      </c>
      <c r="C57" s="69" t="s">
        <v>81</v>
      </c>
      <c r="D57" s="69" t="s">
        <v>173</v>
      </c>
      <c r="E57" s="71" t="n">
        <v>34</v>
      </c>
      <c r="F57" s="72" t="n">
        <v>3399.65</v>
      </c>
      <c r="G57" s="69" t="s">
        <v>166</v>
      </c>
      <c r="H57" s="69" t="s">
        <v>28</v>
      </c>
      <c r="I57" s="71" t="n">
        <f aca="false">E57*F57</f>
        <v>115588.1</v>
      </c>
    </row>
    <row r="58" customFormat="false" ht="15" hidden="false" customHeight="false" outlineLevel="0" collapsed="false">
      <c r="A58" s="69" t="s">
        <v>245</v>
      </c>
      <c r="B58" s="70" t="n">
        <v>45585</v>
      </c>
      <c r="C58" s="69" t="s">
        <v>79</v>
      </c>
      <c r="D58" s="69" t="s">
        <v>152</v>
      </c>
      <c r="E58" s="71" t="n">
        <v>40</v>
      </c>
      <c r="F58" s="72" t="n">
        <v>2851.44</v>
      </c>
      <c r="G58" s="69" t="s">
        <v>161</v>
      </c>
      <c r="H58" s="69" t="s">
        <v>28</v>
      </c>
      <c r="I58" s="71" t="n">
        <f aca="false">E58*F58</f>
        <v>114057.6</v>
      </c>
    </row>
    <row r="59" customFormat="false" ht="15" hidden="false" customHeight="false" outlineLevel="0" collapsed="false">
      <c r="A59" s="69" t="s">
        <v>246</v>
      </c>
      <c r="B59" s="70" t="n">
        <v>45499</v>
      </c>
      <c r="C59" s="69" t="s">
        <v>79</v>
      </c>
      <c r="D59" s="69" t="s">
        <v>155</v>
      </c>
      <c r="E59" s="71" t="n">
        <v>28</v>
      </c>
      <c r="F59" s="72" t="n">
        <v>2595.07</v>
      </c>
      <c r="G59" s="69" t="s">
        <v>184</v>
      </c>
      <c r="H59" s="69" t="s">
        <v>28</v>
      </c>
      <c r="I59" s="71" t="n">
        <f aca="false">E59*F59</f>
        <v>72661.96</v>
      </c>
    </row>
    <row r="60" customFormat="false" ht="15" hidden="false" customHeight="false" outlineLevel="0" collapsed="false">
      <c r="A60" s="69" t="s">
        <v>247</v>
      </c>
      <c r="B60" s="70" t="n">
        <v>45836</v>
      </c>
      <c r="C60" s="69" t="s">
        <v>77</v>
      </c>
      <c r="D60" s="69" t="s">
        <v>248</v>
      </c>
      <c r="E60" s="71" t="n">
        <v>97</v>
      </c>
      <c r="F60" s="72" t="n">
        <v>740.9</v>
      </c>
      <c r="G60" s="69" t="s">
        <v>147</v>
      </c>
      <c r="H60" s="69" t="s">
        <v>28</v>
      </c>
      <c r="I60" s="71" t="n">
        <f aca="false">E60*F60</f>
        <v>71867.3</v>
      </c>
    </row>
    <row r="61" customFormat="false" ht="15" hidden="false" customHeight="false" outlineLevel="0" collapsed="false">
      <c r="A61" s="69" t="s">
        <v>249</v>
      </c>
      <c r="B61" s="70" t="n">
        <v>45751</v>
      </c>
      <c r="C61" s="69" t="s">
        <v>77</v>
      </c>
      <c r="D61" s="69" t="s">
        <v>250</v>
      </c>
      <c r="E61" s="71" t="n">
        <v>1200</v>
      </c>
      <c r="F61" s="72" t="n">
        <v>54.64</v>
      </c>
      <c r="G61" s="69" t="s">
        <v>179</v>
      </c>
      <c r="H61" s="69" t="s">
        <v>29</v>
      </c>
      <c r="I61" s="71" t="n">
        <f aca="false">E61*F61</f>
        <v>65568</v>
      </c>
    </row>
    <row r="62" customFormat="false" ht="15" hidden="false" customHeight="false" outlineLevel="0" collapsed="false">
      <c r="A62" s="69" t="s">
        <v>251</v>
      </c>
      <c r="B62" s="70" t="n">
        <v>45591</v>
      </c>
      <c r="C62" s="69" t="s">
        <v>79</v>
      </c>
      <c r="D62" s="69" t="s">
        <v>252</v>
      </c>
      <c r="E62" s="71" t="n">
        <v>23</v>
      </c>
      <c r="F62" s="72" t="n">
        <v>2776.8</v>
      </c>
      <c r="G62" s="69" t="s">
        <v>184</v>
      </c>
      <c r="H62" s="69" t="s">
        <v>28</v>
      </c>
      <c r="I62" s="71" t="n">
        <f aca="false">E62*F62</f>
        <v>63866.4</v>
      </c>
    </row>
    <row r="63" customFormat="false" ht="15" hidden="false" customHeight="false" outlineLevel="0" collapsed="false">
      <c r="A63" s="69" t="s">
        <v>253</v>
      </c>
      <c r="B63" s="70" t="n">
        <v>45963</v>
      </c>
      <c r="C63" s="69" t="s">
        <v>77</v>
      </c>
      <c r="D63" s="69" t="s">
        <v>175</v>
      </c>
      <c r="E63" s="71" t="n">
        <v>66</v>
      </c>
      <c r="F63" s="72" t="n">
        <v>789.38</v>
      </c>
      <c r="G63" s="69" t="s">
        <v>147</v>
      </c>
      <c r="H63" s="69" t="s">
        <v>28</v>
      </c>
      <c r="I63" s="71" t="n">
        <f aca="false">E63*F63</f>
        <v>52099.08</v>
      </c>
    </row>
    <row r="64" customFormat="false" ht="15" hidden="false" customHeight="false" outlineLevel="0" collapsed="false">
      <c r="A64" s="69" t="s">
        <v>254</v>
      </c>
      <c r="B64" s="70" t="n">
        <v>45400</v>
      </c>
      <c r="C64" s="69" t="s">
        <v>81</v>
      </c>
      <c r="D64" s="69" t="s">
        <v>240</v>
      </c>
      <c r="E64" s="71" t="n">
        <v>10</v>
      </c>
      <c r="F64" s="72" t="n">
        <v>4844.06</v>
      </c>
      <c r="G64" s="69" t="s">
        <v>150</v>
      </c>
      <c r="H64" s="69" t="s">
        <v>28</v>
      </c>
      <c r="I64" s="71" t="n">
        <f aca="false">E64*F64</f>
        <v>48440.6</v>
      </c>
    </row>
    <row r="65" customFormat="false" ht="15" hidden="false" customHeight="false" outlineLevel="0" collapsed="false">
      <c r="A65" s="69" t="s">
        <v>255</v>
      </c>
      <c r="B65" s="70" t="n">
        <v>45712</v>
      </c>
      <c r="C65" s="69" t="s">
        <v>79</v>
      </c>
      <c r="D65" s="69" t="s">
        <v>165</v>
      </c>
      <c r="E65" s="71" t="n">
        <v>15</v>
      </c>
      <c r="F65" s="72" t="n">
        <v>3097.95</v>
      </c>
      <c r="G65" s="69" t="s">
        <v>153</v>
      </c>
      <c r="H65" s="69" t="s">
        <v>28</v>
      </c>
      <c r="I65" s="71" t="n">
        <f aca="false">E65*F65</f>
        <v>46469.25</v>
      </c>
    </row>
    <row r="66" customFormat="false" ht="15" hidden="false" customHeight="false" outlineLevel="0" collapsed="false">
      <c r="A66" s="69" t="s">
        <v>256</v>
      </c>
      <c r="B66" s="70" t="n">
        <v>45520</v>
      </c>
      <c r="C66" s="69" t="s">
        <v>77</v>
      </c>
      <c r="D66" s="69" t="s">
        <v>220</v>
      </c>
      <c r="E66" s="71" t="n">
        <v>72</v>
      </c>
      <c r="F66" s="72" t="n">
        <v>643.53</v>
      </c>
      <c r="G66" s="69" t="s">
        <v>179</v>
      </c>
      <c r="H66" s="69" t="s">
        <v>28</v>
      </c>
      <c r="I66" s="71" t="n">
        <f aca="false">E66*F66</f>
        <v>46334.16</v>
      </c>
    </row>
    <row r="67" customFormat="false" ht="15" hidden="false" customHeight="false" outlineLevel="0" collapsed="false">
      <c r="A67" s="69" t="s">
        <v>257</v>
      </c>
      <c r="B67" s="70" t="n">
        <v>45634</v>
      </c>
      <c r="C67" s="69" t="s">
        <v>77</v>
      </c>
      <c r="D67" s="69" t="s">
        <v>202</v>
      </c>
      <c r="E67" s="71" t="n">
        <v>72</v>
      </c>
      <c r="F67" s="72" t="n">
        <v>607.24</v>
      </c>
      <c r="G67" s="69" t="s">
        <v>184</v>
      </c>
      <c r="H67" s="69" t="s">
        <v>28</v>
      </c>
      <c r="I67" s="71" t="n">
        <f aca="false">E67*F67</f>
        <v>43721.28</v>
      </c>
    </row>
    <row r="68" customFormat="false" ht="15" hidden="false" customHeight="false" outlineLevel="0" collapsed="false">
      <c r="A68" s="69" t="s">
        <v>258</v>
      </c>
      <c r="B68" s="70" t="n">
        <v>46013</v>
      </c>
      <c r="C68" s="69" t="s">
        <v>77</v>
      </c>
      <c r="D68" s="69" t="s">
        <v>238</v>
      </c>
      <c r="E68" s="71" t="n">
        <v>55</v>
      </c>
      <c r="F68" s="72" t="n">
        <v>764.45</v>
      </c>
      <c r="G68" s="69" t="s">
        <v>177</v>
      </c>
      <c r="H68" s="69" t="s">
        <v>28</v>
      </c>
      <c r="I68" s="71" t="n">
        <f aca="false">E68*F68</f>
        <v>42044.75</v>
      </c>
    </row>
    <row r="69" customFormat="false" ht="15" hidden="false" customHeight="false" outlineLevel="0" collapsed="false">
      <c r="A69" s="69" t="s">
        <v>259</v>
      </c>
      <c r="B69" s="70" t="n">
        <v>45907</v>
      </c>
      <c r="C69" s="69" t="s">
        <v>77</v>
      </c>
      <c r="D69" s="69" t="s">
        <v>199</v>
      </c>
      <c r="E69" s="71" t="n">
        <v>48</v>
      </c>
      <c r="F69" s="72" t="n">
        <v>741.45</v>
      </c>
      <c r="G69" s="69" t="s">
        <v>166</v>
      </c>
      <c r="H69" s="69" t="s">
        <v>28</v>
      </c>
      <c r="I69" s="71" t="n">
        <f aca="false">E69*F69</f>
        <v>35589.6</v>
      </c>
    </row>
    <row r="70" customFormat="false" ht="15" hidden="false" customHeight="false" outlineLevel="0" collapsed="false">
      <c r="A70" s="69" t="s">
        <v>260</v>
      </c>
      <c r="B70" s="70" t="n">
        <v>45402</v>
      </c>
      <c r="C70" s="69" t="s">
        <v>77</v>
      </c>
      <c r="D70" s="69" t="s">
        <v>186</v>
      </c>
      <c r="E70" s="71" t="n">
        <v>53</v>
      </c>
      <c r="F70" s="72" t="n">
        <v>601.9</v>
      </c>
      <c r="G70" s="69" t="s">
        <v>177</v>
      </c>
      <c r="H70" s="69" t="s">
        <v>28</v>
      </c>
      <c r="I70" s="71" t="n">
        <f aca="false">E70*F70</f>
        <v>31900.7</v>
      </c>
    </row>
    <row r="71" customFormat="false" ht="15" hidden="false" customHeight="false" outlineLevel="0" collapsed="false">
      <c r="A71" s="69" t="s">
        <v>261</v>
      </c>
      <c r="B71" s="70" t="n">
        <v>45676</v>
      </c>
      <c r="C71" s="69" t="s">
        <v>79</v>
      </c>
      <c r="D71" s="69" t="s">
        <v>262</v>
      </c>
      <c r="E71" s="71" t="n">
        <v>12</v>
      </c>
      <c r="F71" s="72" t="n">
        <v>2419.36</v>
      </c>
      <c r="G71" s="69" t="s">
        <v>179</v>
      </c>
      <c r="H71" s="69" t="s">
        <v>28</v>
      </c>
      <c r="I71" s="71" t="n">
        <f aca="false">E71*F71</f>
        <v>29032.32</v>
      </c>
    </row>
    <row r="72" customFormat="false" ht="15" hidden="false" customHeight="false" outlineLevel="0" collapsed="false">
      <c r="A72" s="69" t="s">
        <v>263</v>
      </c>
      <c r="B72" s="70" t="n">
        <v>45378</v>
      </c>
      <c r="C72" s="69" t="s">
        <v>79</v>
      </c>
      <c r="D72" s="69" t="s">
        <v>175</v>
      </c>
      <c r="E72" s="71" t="n">
        <v>10</v>
      </c>
      <c r="F72" s="72" t="n">
        <v>2733.93</v>
      </c>
      <c r="G72" s="69" t="s">
        <v>158</v>
      </c>
      <c r="H72" s="69" t="s">
        <v>28</v>
      </c>
      <c r="I72" s="71" t="n">
        <f aca="false">E72*F72</f>
        <v>27339.3</v>
      </c>
    </row>
    <row r="73" customFormat="false" ht="15" hidden="false" customHeight="false" outlineLevel="0" collapsed="false">
      <c r="A73" s="69" t="s">
        <v>264</v>
      </c>
      <c r="B73" s="70" t="n">
        <v>45860</v>
      </c>
      <c r="C73" s="69" t="s">
        <v>81</v>
      </c>
      <c r="D73" s="69" t="s">
        <v>155</v>
      </c>
      <c r="E73" s="71" t="n">
        <v>6</v>
      </c>
      <c r="F73" s="72" t="n">
        <v>4519.21</v>
      </c>
      <c r="G73" s="69" t="s">
        <v>216</v>
      </c>
      <c r="H73" s="69" t="s">
        <v>28</v>
      </c>
      <c r="I73" s="71" t="n">
        <f aca="false">E73*F73</f>
        <v>27115.26</v>
      </c>
    </row>
    <row r="74" customFormat="false" ht="15" hidden="false" customHeight="false" outlineLevel="0" collapsed="false">
      <c r="A74" s="69" t="s">
        <v>265</v>
      </c>
      <c r="B74" s="70" t="n">
        <v>45771</v>
      </c>
      <c r="C74" s="69" t="s">
        <v>77</v>
      </c>
      <c r="D74" s="69" t="s">
        <v>191</v>
      </c>
      <c r="E74" s="71" t="n">
        <v>38</v>
      </c>
      <c r="F74" s="72" t="n">
        <v>600.94</v>
      </c>
      <c r="G74" s="69" t="s">
        <v>179</v>
      </c>
      <c r="H74" s="69" t="s">
        <v>28</v>
      </c>
      <c r="I74" s="71" t="n">
        <f aca="false">E74*F74</f>
        <v>22835.72</v>
      </c>
    </row>
    <row r="75" customFormat="false" ht="15" hidden="false" customHeight="false" outlineLevel="0" collapsed="false">
      <c r="A75" s="69" t="s">
        <v>266</v>
      </c>
      <c r="B75" s="70" t="n">
        <v>45817</v>
      </c>
      <c r="C75" s="69" t="s">
        <v>77</v>
      </c>
      <c r="D75" s="69" t="s">
        <v>243</v>
      </c>
      <c r="E75" s="71" t="n">
        <v>35</v>
      </c>
      <c r="F75" s="72" t="n">
        <v>566.56</v>
      </c>
      <c r="G75" s="69" t="s">
        <v>153</v>
      </c>
      <c r="H75" s="69" t="s">
        <v>28</v>
      </c>
      <c r="I75" s="71" t="n">
        <f aca="false">E75*F75</f>
        <v>19829.6</v>
      </c>
    </row>
    <row r="76" customFormat="false" ht="15" hidden="false" customHeight="false" outlineLevel="0" collapsed="false">
      <c r="A76" s="69" t="s">
        <v>267</v>
      </c>
      <c r="B76" s="70" t="n">
        <v>45752</v>
      </c>
      <c r="C76" s="69" t="s">
        <v>77</v>
      </c>
      <c r="D76" s="69" t="s">
        <v>218</v>
      </c>
      <c r="E76" s="71" t="n">
        <v>25</v>
      </c>
      <c r="F76" s="72" t="n">
        <v>666.4</v>
      </c>
      <c r="G76" s="69" t="s">
        <v>216</v>
      </c>
      <c r="H76" s="69" t="s">
        <v>28</v>
      </c>
      <c r="I76" s="71" t="n">
        <f aca="false">E76*F76</f>
        <v>16660</v>
      </c>
    </row>
    <row r="77" customFormat="false" ht="15" hidden="false" customHeight="false" outlineLevel="0" collapsed="false">
      <c r="A77" s="69" t="s">
        <v>268</v>
      </c>
      <c r="B77" s="70" t="n">
        <v>45995</v>
      </c>
      <c r="C77" s="69" t="s">
        <v>79</v>
      </c>
      <c r="D77" s="69" t="s">
        <v>269</v>
      </c>
      <c r="E77" s="71" t="n">
        <v>6</v>
      </c>
      <c r="F77" s="72" t="n">
        <v>2243.38</v>
      </c>
      <c r="G77" s="69" t="s">
        <v>161</v>
      </c>
      <c r="H77" s="69" t="s">
        <v>28</v>
      </c>
      <c r="I77" s="71" t="n">
        <f aca="false">E77*F77</f>
        <v>13460.28</v>
      </c>
    </row>
    <row r="78" customFormat="false" ht="15" hidden="false" customHeight="false" outlineLevel="0" collapsed="false">
      <c r="A78" s="69" t="s">
        <v>270</v>
      </c>
      <c r="B78" s="70" t="n">
        <v>45693</v>
      </c>
      <c r="C78" s="69" t="s">
        <v>81</v>
      </c>
      <c r="D78" s="69" t="s">
        <v>271</v>
      </c>
      <c r="E78" s="71" t="n">
        <v>3</v>
      </c>
      <c r="F78" s="72" t="n">
        <v>3586.72</v>
      </c>
      <c r="G78" s="69" t="s">
        <v>150</v>
      </c>
      <c r="H78" s="69" t="s">
        <v>28</v>
      </c>
      <c r="I78" s="71" t="n">
        <f aca="false">E78*F78</f>
        <v>10760.16</v>
      </c>
    </row>
    <row r="79" customFormat="false" ht="15" hidden="false" customHeight="false" outlineLevel="0" collapsed="false">
      <c r="A79" s="69" t="s">
        <v>272</v>
      </c>
      <c r="B79" s="70" t="n">
        <v>45644</v>
      </c>
      <c r="C79" s="69" t="s">
        <v>77</v>
      </c>
      <c r="D79" s="69" t="s">
        <v>262</v>
      </c>
      <c r="E79" s="71" t="n">
        <v>11</v>
      </c>
      <c r="F79" s="72" t="n">
        <v>616.69</v>
      </c>
      <c r="G79" s="69" t="s">
        <v>184</v>
      </c>
      <c r="H79" s="69" t="s">
        <v>28</v>
      </c>
      <c r="I79" s="71" t="n">
        <f aca="false">E79*F79</f>
        <v>6783.59</v>
      </c>
    </row>
    <row r="80" customFormat="false" ht="15" hidden="false" customHeight="false" outlineLevel="0" collapsed="false">
      <c r="A80" s="69" t="s">
        <v>273</v>
      </c>
      <c r="B80" s="70" t="n">
        <v>45599</v>
      </c>
      <c r="C80" s="69" t="s">
        <v>77</v>
      </c>
      <c r="D80" s="69" t="s">
        <v>146</v>
      </c>
      <c r="E80" s="71" t="n">
        <v>6</v>
      </c>
      <c r="F80" s="72" t="n">
        <v>745.69</v>
      </c>
      <c r="G80" s="69" t="s">
        <v>150</v>
      </c>
      <c r="H80" s="69" t="s">
        <v>28</v>
      </c>
      <c r="I80" s="71" t="n">
        <f aca="false">E80*F80</f>
        <v>4474.14</v>
      </c>
    </row>
    <row r="81" customFormat="false" ht="15" hidden="false" customHeight="false" outlineLevel="0" collapsed="false">
      <c r="A81" s="69" t="s">
        <v>274</v>
      </c>
      <c r="B81" s="70" t="n">
        <v>45636</v>
      </c>
      <c r="C81" s="69" t="s">
        <v>79</v>
      </c>
      <c r="D81" s="69" t="s">
        <v>218</v>
      </c>
      <c r="E81" s="71" t="n">
        <v>1</v>
      </c>
      <c r="F81" s="72" t="n">
        <v>3030.98</v>
      </c>
      <c r="G81" s="69" t="s">
        <v>166</v>
      </c>
      <c r="H81" s="69" t="s">
        <v>28</v>
      </c>
      <c r="I81" s="71" t="n">
        <f aca="false">E81*F81</f>
        <v>3030.98</v>
      </c>
    </row>
    <row r="83" customFormat="false" ht="15" hidden="false" customHeight="false" outlineLevel="0" collapsed="false">
      <c r="A83" s="67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5" min="10" style="0" width="16"/>
    <col collapsed="false" customWidth="true" hidden="false" outlineLevel="0" max="16" min="16" style="0" width="22"/>
  </cols>
  <sheetData>
    <row r="1" customFormat="false" ht="15" hidden="false" customHeight="false" outlineLevel="0" collapsed="false">
      <c r="A1" s="68" t="s">
        <v>26</v>
      </c>
      <c r="B1" s="68" t="s">
        <v>276</v>
      </c>
      <c r="C1" s="68" t="s">
        <v>277</v>
      </c>
      <c r="D1" s="68" t="s">
        <v>278</v>
      </c>
      <c r="E1" s="68" t="s">
        <v>279</v>
      </c>
      <c r="F1" s="68" t="s">
        <v>280</v>
      </c>
      <c r="G1" s="68" t="s">
        <v>281</v>
      </c>
      <c r="H1" s="68" t="s">
        <v>282</v>
      </c>
      <c r="I1" s="68" t="s">
        <v>283</v>
      </c>
      <c r="J1" s="68" t="s">
        <v>145</v>
      </c>
      <c r="K1" s="68" t="s">
        <v>157</v>
      </c>
      <c r="L1" s="68" t="s">
        <v>168</v>
      </c>
      <c r="M1" s="68" t="s">
        <v>81</v>
      </c>
      <c r="N1" s="68" t="s">
        <v>79</v>
      </c>
      <c r="O1" s="68" t="s">
        <v>77</v>
      </c>
      <c r="P1" s="68" t="s">
        <v>284</v>
      </c>
    </row>
    <row r="2" customFormat="false" ht="15" hidden="false" customHeight="false" outlineLevel="0" collapsed="false">
      <c r="A2" s="69" t="s">
        <v>285</v>
      </c>
      <c r="B2" s="71" t="n">
        <v>179753375</v>
      </c>
      <c r="C2" s="71" t="n">
        <v>2012</v>
      </c>
      <c r="D2" s="71" t="n">
        <f aca="false">B2/C2</f>
        <v>89340.643638171</v>
      </c>
      <c r="E2" s="73" t="n">
        <f aca="false">B2/SUM($B$2:$B$51)</f>
        <v>0.0285522693633742</v>
      </c>
      <c r="F2" s="71" t="n">
        <f aca="false">COUNTIF(Data_Anomalies!$D$2:$D$81,A2)</f>
        <v>0</v>
      </c>
      <c r="G2" s="71" t="n">
        <f aca="false">SUMIF(Data_Anomalies!$D$2:$D$81,A2,Data_Anomalies!$I$2:$I$81)</f>
        <v>0</v>
      </c>
      <c r="H2" s="69" t="str">
        <f aca="false">IF(F2&gt;=Parameters!$B$3,"HIGH",IF(F2&gt;=Parameters!$B$4,"ELEVATED","LOW"))</f>
        <v>LOW</v>
      </c>
      <c r="I2" s="74" t="n">
        <f aca="false">SUMIF($B$2:$B$51,"&gt;="&amp;B2)/SUM($B$2:$B$51)</f>
        <v>0.0285522693633742</v>
      </c>
      <c r="J2" s="71" t="n">
        <f aca="false">SUMIFS(Data_Anomalies!$I$2:$I$81,Data_Anomalies!$D$2:$D$81,$A2,Data_Anomalies!$C$2:$C$81,J$1)</f>
        <v>0</v>
      </c>
      <c r="K2" s="71" t="n">
        <f aca="false">SUMIFS(Data_Anomalies!$I$2:$I$81,Data_Anomalies!$D$2:$D$81,$A2,Data_Anomalies!$C$2:$C$81,K$1)</f>
        <v>0</v>
      </c>
      <c r="L2" s="71" t="n">
        <f aca="false">SUMIFS(Data_Anomalies!$I$2:$I$81,Data_Anomalies!$D$2:$D$81,$A2,Data_Anomalies!$C$2:$C$81,L$1)</f>
        <v>0</v>
      </c>
      <c r="M2" s="71" t="n">
        <f aca="false">SUMIFS(Data_Anomalies!$I$2:$I$81,Data_Anomalies!$D$2:$D$81,$A2,Data_Anomalies!$C$2:$C$81,M$1)</f>
        <v>0</v>
      </c>
      <c r="N2" s="71" t="n">
        <f aca="false">SUMIFS(Data_Anomalies!$I$2:$I$81,Data_Anomalies!$D$2:$D$81,$A2,Data_Anomalies!$C$2:$C$81,N$1)</f>
        <v>0</v>
      </c>
      <c r="O2" s="71" t="n">
        <f aca="false">SUMIFS(Data_Anomalies!$I$2:$I$81,Data_Anomalies!$D$2:$D$81,$A2,Data_Anomalies!$C$2:$C$81,O$1)</f>
        <v>0</v>
      </c>
      <c r="P2" s="69" t="str">
        <f aca="false">IF(G2=0,"—",INDEX($J$1:$O$1,MATCH(MAX(J2:O2),J2:O2,0)))</f>
        <v>—</v>
      </c>
    </row>
    <row r="3" customFormat="false" ht="15" hidden="false" customHeight="false" outlineLevel="0" collapsed="false">
      <c r="A3" s="69" t="s">
        <v>146</v>
      </c>
      <c r="B3" s="71" t="n">
        <v>159930853</v>
      </c>
      <c r="C3" s="71" t="n">
        <v>1988</v>
      </c>
      <c r="D3" s="71" t="n">
        <f aca="false">B3/C3</f>
        <v>80448.1151911469</v>
      </c>
      <c r="E3" s="73" t="n">
        <f aca="false">B3/SUM($B$2:$B$51)</f>
        <v>0.0254036331410757</v>
      </c>
      <c r="F3" s="71" t="n">
        <f aca="false">COUNTIF(Data_Anomalies!$D$2:$D$81,A3)</f>
        <v>2</v>
      </c>
      <c r="G3" s="71" t="n">
        <f aca="false">SUMIF(Data_Anomalies!$D$2:$D$81,A3,Data_Anomalies!$I$2:$I$81)</f>
        <v>38217839.14</v>
      </c>
      <c r="H3" s="69" t="str">
        <f aca="false">IF(F3&gt;=Parameters!$B$3,"HIGH",IF(F3&gt;=Parameters!$B$4,"ELEVATED","LOW"))</f>
        <v>ELEVATED</v>
      </c>
      <c r="I3" s="74" t="n">
        <f aca="false">SUMIF($B$2:$B$51,"&gt;="&amp;B3)/SUM($B$2:$B$51)</f>
        <v>0.0539559025044499</v>
      </c>
      <c r="J3" s="71" t="n">
        <f aca="false">SUMIFS(Data_Anomalies!$I$2:$I$81,Data_Anomalies!$D$2:$D$81,$A3,Data_Anomalies!$C$2:$C$81,J$1)</f>
        <v>38213365</v>
      </c>
      <c r="K3" s="71" t="n">
        <f aca="false">SUMIFS(Data_Anomalies!$I$2:$I$81,Data_Anomalies!$D$2:$D$81,$A3,Data_Anomalies!$C$2:$C$81,K$1)</f>
        <v>0</v>
      </c>
      <c r="L3" s="71" t="n">
        <f aca="false">SUMIFS(Data_Anomalies!$I$2:$I$81,Data_Anomalies!$D$2:$D$81,$A3,Data_Anomalies!$C$2:$C$81,L$1)</f>
        <v>0</v>
      </c>
      <c r="M3" s="71" t="n">
        <f aca="false">SUMIFS(Data_Anomalies!$I$2:$I$81,Data_Anomalies!$D$2:$D$81,$A3,Data_Anomalies!$C$2:$C$81,M$1)</f>
        <v>0</v>
      </c>
      <c r="N3" s="71" t="n">
        <f aca="false">SUMIFS(Data_Anomalies!$I$2:$I$81,Data_Anomalies!$D$2:$D$81,$A3,Data_Anomalies!$C$2:$C$81,N$1)</f>
        <v>0</v>
      </c>
      <c r="O3" s="71" t="n">
        <f aca="false">SUMIFS(Data_Anomalies!$I$2:$I$81,Data_Anomalies!$D$2:$D$81,$A3,Data_Anomalies!$C$2:$C$81,O$1)</f>
        <v>4474.14</v>
      </c>
      <c r="P3" s="69" t="str">
        <f aca="false">IF(G3=0,"—",INDEX($J$1:$O$1,MATCH(MAX(J3:O3),J3:O3,0)))</f>
        <v>IT Hardware</v>
      </c>
    </row>
    <row r="4" customFormat="false" ht="15" hidden="false" customHeight="false" outlineLevel="0" collapsed="false">
      <c r="A4" s="69" t="s">
        <v>155</v>
      </c>
      <c r="B4" s="71" t="n">
        <v>148038153</v>
      </c>
      <c r="C4" s="71" t="n">
        <v>1976</v>
      </c>
      <c r="D4" s="71" t="n">
        <f aca="false">B4/C4</f>
        <v>74918.0936234818</v>
      </c>
      <c r="E4" s="73" t="n">
        <f aca="false">B4/SUM($B$2:$B$51)</f>
        <v>0.0235145805774852</v>
      </c>
      <c r="F4" s="71" t="n">
        <f aca="false">COUNTIF(Data_Anomalies!$D$2:$D$81,A4)</f>
        <v>6</v>
      </c>
      <c r="G4" s="71" t="n">
        <f aca="false">SUMIF(Data_Anomalies!$D$2:$D$81,A4,Data_Anomalies!$I$2:$I$81)</f>
        <v>29146079.22</v>
      </c>
      <c r="H4" s="69" t="str">
        <f aca="false">IF(F4&gt;=Parameters!$B$3,"HIGH",IF(F4&gt;=Parameters!$B$4,"ELEVATED","LOW"))</f>
        <v>HIGH</v>
      </c>
      <c r="I4" s="74" t="n">
        <f aca="false">SUMIF($B$2:$B$51,"&gt;="&amp;B4)/SUM($B$2:$B$51)</f>
        <v>0.0774704830819351</v>
      </c>
      <c r="J4" s="71" t="n">
        <f aca="false">SUMIFS(Data_Anomalies!$I$2:$I$81,Data_Anomalies!$D$2:$D$81,$A4,Data_Anomalies!$C$2:$C$81,J$1)</f>
        <v>18230716</v>
      </c>
      <c r="K4" s="71" t="n">
        <f aca="false">SUMIFS(Data_Anomalies!$I$2:$I$81,Data_Anomalies!$D$2:$D$81,$A4,Data_Anomalies!$C$2:$C$81,K$1)</f>
        <v>10473010</v>
      </c>
      <c r="L4" s="71" t="n">
        <f aca="false">SUMIFS(Data_Anomalies!$I$2:$I$81,Data_Anomalies!$D$2:$D$81,$A4,Data_Anomalies!$C$2:$C$81,L$1)</f>
        <v>0</v>
      </c>
      <c r="M4" s="71" t="n">
        <f aca="false">SUMIFS(Data_Anomalies!$I$2:$I$81,Data_Anomalies!$D$2:$D$81,$A4,Data_Anomalies!$C$2:$C$81,M$1)</f>
        <v>27115.26</v>
      </c>
      <c r="N4" s="71" t="n">
        <f aca="false">SUMIFS(Data_Anomalies!$I$2:$I$81,Data_Anomalies!$D$2:$D$81,$A4,Data_Anomalies!$C$2:$C$81,N$1)</f>
        <v>72661.96</v>
      </c>
      <c r="O4" s="71" t="n">
        <f aca="false">SUMIFS(Data_Anomalies!$I$2:$I$81,Data_Anomalies!$D$2:$D$81,$A4,Data_Anomalies!$C$2:$C$81,O$1)</f>
        <v>342576</v>
      </c>
      <c r="P4" s="69" t="str">
        <f aca="false">IF(G4=0,"—",INDEX($J$1:$O$1,MATCH(MAX(J4:O4),J4:O4,0)))</f>
        <v>IT Hardware</v>
      </c>
    </row>
    <row r="5" customFormat="false" ht="15" hidden="false" customHeight="false" outlineLevel="0" collapsed="false">
      <c r="A5" s="69" t="s">
        <v>149</v>
      </c>
      <c r="B5" s="71" t="n">
        <v>147786075</v>
      </c>
      <c r="C5" s="71" t="n">
        <v>2073</v>
      </c>
      <c r="D5" s="71" t="n">
        <f aca="false">B5/C5</f>
        <v>71290.9189580318</v>
      </c>
      <c r="E5" s="73" t="n">
        <f aca="false">B5/SUM($B$2:$B$51)</f>
        <v>0.0234745401668026</v>
      </c>
      <c r="F5" s="71" t="n">
        <f aca="false">COUNTIF(Data_Anomalies!$D$2:$D$81,A5)</f>
        <v>3</v>
      </c>
      <c r="G5" s="71" t="n">
        <f aca="false">SUMIF(Data_Anomalies!$D$2:$D$81,A5,Data_Anomalies!$I$2:$I$81)</f>
        <v>27107150</v>
      </c>
      <c r="H5" s="69" t="str">
        <f aca="false">IF(F5&gt;=Parameters!$B$3,"HIGH",IF(F5&gt;=Parameters!$B$4,"ELEVATED","LOW"))</f>
        <v>ELEVATED</v>
      </c>
      <c r="I5" s="74" t="n">
        <f aca="false">SUMIF($B$2:$B$51,"&gt;="&amp;B5)/SUM($B$2:$B$51)</f>
        <v>0.100945023248738</v>
      </c>
      <c r="J5" s="71" t="n">
        <f aca="false">SUMIFS(Data_Anomalies!$I$2:$I$81,Data_Anomalies!$D$2:$D$81,$A5,Data_Anomalies!$C$2:$C$81,J$1)</f>
        <v>22138050</v>
      </c>
      <c r="K5" s="71" t="n">
        <f aca="false">SUMIFS(Data_Anomalies!$I$2:$I$81,Data_Anomalies!$D$2:$D$81,$A5,Data_Anomalies!$C$2:$C$81,K$1)</f>
        <v>0</v>
      </c>
      <c r="L5" s="71" t="n">
        <f aca="false">SUMIFS(Data_Anomalies!$I$2:$I$81,Data_Anomalies!$D$2:$D$81,$A5,Data_Anomalies!$C$2:$C$81,L$1)</f>
        <v>3936900</v>
      </c>
      <c r="M5" s="71" t="n">
        <f aca="false">SUMIFS(Data_Anomalies!$I$2:$I$81,Data_Anomalies!$D$2:$D$81,$A5,Data_Anomalies!$C$2:$C$81,M$1)</f>
        <v>0</v>
      </c>
      <c r="N5" s="71" t="n">
        <f aca="false">SUMIFS(Data_Anomalies!$I$2:$I$81,Data_Anomalies!$D$2:$D$81,$A5,Data_Anomalies!$C$2:$C$81,N$1)</f>
        <v>1032200</v>
      </c>
      <c r="O5" s="71" t="n">
        <f aca="false">SUMIFS(Data_Anomalies!$I$2:$I$81,Data_Anomalies!$D$2:$D$81,$A5,Data_Anomalies!$C$2:$C$81,O$1)</f>
        <v>0</v>
      </c>
      <c r="P5" s="69" t="str">
        <f aca="false">IF(G5=0,"—",INDEX($J$1:$O$1,MATCH(MAX(J5:O5),J5:O5,0)))</f>
        <v>IT Hardware</v>
      </c>
    </row>
    <row r="6" customFormat="false" ht="15" hidden="false" customHeight="false" outlineLevel="0" collapsed="false">
      <c r="A6" s="69" t="s">
        <v>152</v>
      </c>
      <c r="B6" s="71" t="n">
        <v>143315737</v>
      </c>
      <c r="C6" s="71" t="n">
        <v>2012</v>
      </c>
      <c r="D6" s="71" t="n">
        <f aca="false">B6/C6</f>
        <v>71230.4855864811</v>
      </c>
      <c r="E6" s="73" t="n">
        <f aca="false">B6/SUM($B$2:$B$51)</f>
        <v>0.0227644656287232</v>
      </c>
      <c r="F6" s="71" t="n">
        <f aca="false">COUNTIF(Data_Anomalies!$D$2:$D$81,A6)</f>
        <v>3</v>
      </c>
      <c r="G6" s="71" t="n">
        <f aca="false">SUMIF(Data_Anomalies!$D$2:$D$81,A6,Data_Anomalies!$I$2:$I$81)</f>
        <v>19467355.87</v>
      </c>
      <c r="H6" s="69" t="str">
        <f aca="false">IF(F6&gt;=Parameters!$B$3,"HIGH",IF(F6&gt;=Parameters!$B$4,"ELEVATED","LOW"))</f>
        <v>ELEVATED</v>
      </c>
      <c r="I6" s="74" t="n">
        <f aca="false">SUMIF($B$2:$B$51,"&gt;="&amp;B6)/SUM($B$2:$B$51)</f>
        <v>0.123709488877461</v>
      </c>
      <c r="J6" s="71" t="n">
        <f aca="false">SUMIFS(Data_Anomalies!$I$2:$I$81,Data_Anomalies!$D$2:$D$81,$A6,Data_Anomalies!$C$2:$C$81,J$1)</f>
        <v>19353298.27</v>
      </c>
      <c r="K6" s="71" t="n">
        <f aca="false">SUMIFS(Data_Anomalies!$I$2:$I$81,Data_Anomalies!$D$2:$D$81,$A6,Data_Anomalies!$C$2:$C$81,K$1)</f>
        <v>0</v>
      </c>
      <c r="L6" s="71" t="n">
        <f aca="false">SUMIFS(Data_Anomalies!$I$2:$I$81,Data_Anomalies!$D$2:$D$81,$A6,Data_Anomalies!$C$2:$C$81,L$1)</f>
        <v>0</v>
      </c>
      <c r="M6" s="71" t="n">
        <f aca="false">SUMIFS(Data_Anomalies!$I$2:$I$81,Data_Anomalies!$D$2:$D$81,$A6,Data_Anomalies!$C$2:$C$81,M$1)</f>
        <v>0</v>
      </c>
      <c r="N6" s="71" t="n">
        <f aca="false">SUMIFS(Data_Anomalies!$I$2:$I$81,Data_Anomalies!$D$2:$D$81,$A6,Data_Anomalies!$C$2:$C$81,N$1)</f>
        <v>114057.6</v>
      </c>
      <c r="O6" s="71" t="n">
        <f aca="false">SUMIFS(Data_Anomalies!$I$2:$I$81,Data_Anomalies!$D$2:$D$81,$A6,Data_Anomalies!$C$2:$C$81,O$1)</f>
        <v>0</v>
      </c>
      <c r="P6" s="69" t="str">
        <f aca="false">IF(G6=0,"—",INDEX($J$1:$O$1,MATCH(MAX(J6:O6),J6:O6,0)))</f>
        <v>IT Hardware</v>
      </c>
    </row>
    <row r="7" customFormat="false" ht="15" hidden="false" customHeight="false" outlineLevel="0" collapsed="false">
      <c r="A7" s="69" t="s">
        <v>169</v>
      </c>
      <c r="B7" s="71" t="n">
        <v>135626018</v>
      </c>
      <c r="C7" s="71" t="n">
        <v>2019</v>
      </c>
      <c r="D7" s="71" t="n">
        <f aca="false">B7/C7</f>
        <v>67174.847944527</v>
      </c>
      <c r="E7" s="73" t="n">
        <f aca="false">B7/SUM($B$2:$B$51)</f>
        <v>0.0215430202554908</v>
      </c>
      <c r="F7" s="71" t="n">
        <f aca="false">COUNTIF(Data_Anomalies!$D$2:$D$81,A7)</f>
        <v>2</v>
      </c>
      <c r="G7" s="71" t="n">
        <f aca="false">SUMIF(Data_Anomalies!$D$2:$D$81,A7,Data_Anomalies!$I$2:$I$81)</f>
        <v>6753752.41</v>
      </c>
      <c r="H7" s="69" t="str">
        <f aca="false">IF(F7&gt;=Parameters!$B$3,"HIGH",IF(F7&gt;=Parameters!$B$4,"ELEVATED","LOW"))</f>
        <v>ELEVATED</v>
      </c>
      <c r="I7" s="74" t="n">
        <f aca="false">SUMIF($B$2:$B$51,"&gt;="&amp;B7)/SUM($B$2:$B$51)</f>
        <v>0.145252509132952</v>
      </c>
      <c r="J7" s="71" t="n">
        <f aca="false">SUMIFS(Data_Anomalies!$I$2:$I$81,Data_Anomalies!$D$2:$D$81,$A7,Data_Anomalies!$C$2:$C$81,J$1)</f>
        <v>0</v>
      </c>
      <c r="K7" s="71" t="n">
        <f aca="false">SUMIFS(Data_Anomalies!$I$2:$I$81,Data_Anomalies!$D$2:$D$81,$A7,Data_Anomalies!$C$2:$C$81,K$1)</f>
        <v>0</v>
      </c>
      <c r="L7" s="71" t="n">
        <f aca="false">SUMIFS(Data_Anomalies!$I$2:$I$81,Data_Anomalies!$D$2:$D$81,$A7,Data_Anomalies!$C$2:$C$81,L$1)</f>
        <v>6266218</v>
      </c>
      <c r="M7" s="71" t="n">
        <f aca="false">SUMIFS(Data_Anomalies!$I$2:$I$81,Data_Anomalies!$D$2:$D$81,$A7,Data_Anomalies!$C$2:$C$81,M$1)</f>
        <v>487534.41</v>
      </c>
      <c r="N7" s="71" t="n">
        <f aca="false">SUMIFS(Data_Anomalies!$I$2:$I$81,Data_Anomalies!$D$2:$D$81,$A7,Data_Anomalies!$C$2:$C$81,N$1)</f>
        <v>0</v>
      </c>
      <c r="O7" s="71" t="n">
        <f aca="false">SUMIFS(Data_Anomalies!$I$2:$I$81,Data_Anomalies!$D$2:$D$81,$A7,Data_Anomalies!$C$2:$C$81,O$1)</f>
        <v>0</v>
      </c>
      <c r="P7" s="69" t="str">
        <f aca="false">IF(G7=0,"—",INDEX($J$1:$O$1,MATCH(MAX(J7:O7),J7:O7,0)))</f>
        <v>Media &amp; Energy</v>
      </c>
    </row>
    <row r="8" customFormat="false" ht="15" hidden="false" customHeight="false" outlineLevel="0" collapsed="false">
      <c r="A8" s="69" t="s">
        <v>183</v>
      </c>
      <c r="B8" s="71" t="n">
        <v>133400177</v>
      </c>
      <c r="C8" s="71" t="n">
        <v>2084</v>
      </c>
      <c r="D8" s="71" t="n">
        <f aca="false">B8/C8</f>
        <v>64011.6012476008</v>
      </c>
      <c r="E8" s="73" t="n">
        <f aca="false">B8/SUM($B$2:$B$51)</f>
        <v>0.0211894646585957</v>
      </c>
      <c r="F8" s="71" t="n">
        <f aca="false">COUNTIF(Data_Anomalies!$D$2:$D$81,A8)</f>
        <v>2</v>
      </c>
      <c r="G8" s="71" t="n">
        <f aca="false">SUMIF(Data_Anomalies!$D$2:$D$81,A8,Data_Anomalies!$I$2:$I$81)</f>
        <v>3332472.88</v>
      </c>
      <c r="H8" s="69" t="str">
        <f aca="false">IF(F8&gt;=Parameters!$B$3,"HIGH",IF(F8&gt;=Parameters!$B$4,"ELEVATED","LOW"))</f>
        <v>ELEVATED</v>
      </c>
      <c r="I8" s="74" t="n">
        <f aca="false">SUMIF($B$2:$B$51,"&gt;="&amp;B8)/SUM($B$2:$B$51)</f>
        <v>0.166441973791547</v>
      </c>
      <c r="J8" s="71" t="n">
        <f aca="false">SUMIFS(Data_Anomalies!$I$2:$I$81,Data_Anomalies!$D$2:$D$81,$A8,Data_Anomalies!$C$2:$C$81,J$1)</f>
        <v>2793813.88</v>
      </c>
      <c r="K8" s="71" t="n">
        <f aca="false">SUMIFS(Data_Anomalies!$I$2:$I$81,Data_Anomalies!$D$2:$D$81,$A8,Data_Anomalies!$C$2:$C$81,K$1)</f>
        <v>0</v>
      </c>
      <c r="L8" s="71" t="n">
        <f aca="false">SUMIFS(Data_Anomalies!$I$2:$I$81,Data_Anomalies!$D$2:$D$81,$A8,Data_Anomalies!$C$2:$C$81,L$1)</f>
        <v>0</v>
      </c>
      <c r="M8" s="71" t="n">
        <f aca="false">SUMIFS(Data_Anomalies!$I$2:$I$81,Data_Anomalies!$D$2:$D$81,$A8,Data_Anomalies!$C$2:$C$81,M$1)</f>
        <v>0</v>
      </c>
      <c r="N8" s="71" t="n">
        <f aca="false">SUMIFS(Data_Anomalies!$I$2:$I$81,Data_Anomalies!$D$2:$D$81,$A8,Data_Anomalies!$C$2:$C$81,N$1)</f>
        <v>0</v>
      </c>
      <c r="O8" s="71" t="n">
        <f aca="false">SUMIFS(Data_Anomalies!$I$2:$I$81,Data_Anomalies!$D$2:$D$81,$A8,Data_Anomalies!$C$2:$C$81,O$1)</f>
        <v>538659</v>
      </c>
      <c r="P8" s="69" t="str">
        <f aca="false">IF(G8=0,"—",INDEX($J$1:$O$1,MATCH(MAX(J8:O8),J8:O8,0)))</f>
        <v>IT Hardware</v>
      </c>
    </row>
    <row r="9" customFormat="false" ht="15" hidden="false" customHeight="false" outlineLevel="0" collapsed="false">
      <c r="A9" s="69" t="s">
        <v>188</v>
      </c>
      <c r="B9" s="71" t="n">
        <v>131412367</v>
      </c>
      <c r="C9" s="71" t="n">
        <v>2016</v>
      </c>
      <c r="D9" s="71" t="n">
        <f aca="false">B9/C9</f>
        <v>65184.7058531746</v>
      </c>
      <c r="E9" s="73" t="n">
        <f aca="false">B9/SUM($B$2:$B$51)</f>
        <v>0.0208737182278919</v>
      </c>
      <c r="F9" s="71" t="n">
        <f aca="false">COUNTIF(Data_Anomalies!$D$2:$D$81,A9)</f>
        <v>2</v>
      </c>
      <c r="G9" s="71" t="n">
        <f aca="false">SUMIF(Data_Anomalies!$D$2:$D$81,A9,Data_Anomalies!$I$2:$I$81)</f>
        <v>2322271.5</v>
      </c>
      <c r="H9" s="69" t="str">
        <f aca="false">IF(F9&gt;=Parameters!$B$3,"HIGH",IF(F9&gt;=Parameters!$B$4,"ELEVATED","LOW"))</f>
        <v>ELEVATED</v>
      </c>
      <c r="I9" s="74" t="n">
        <f aca="false">SUMIF($B$2:$B$51,"&gt;="&amp;B9)/SUM($B$2:$B$51)</f>
        <v>0.187315692019439</v>
      </c>
      <c r="J9" s="71" t="n">
        <f aca="false">SUMIFS(Data_Anomalies!$I$2:$I$81,Data_Anomalies!$D$2:$D$81,$A9,Data_Anomalies!$C$2:$C$81,J$1)</f>
        <v>0</v>
      </c>
      <c r="K9" s="71" t="n">
        <f aca="false">SUMIFS(Data_Anomalies!$I$2:$I$81,Data_Anomalies!$D$2:$D$81,$A9,Data_Anomalies!$C$2:$C$81,K$1)</f>
        <v>2120602.5</v>
      </c>
      <c r="L9" s="71" t="n">
        <f aca="false">SUMIFS(Data_Anomalies!$I$2:$I$81,Data_Anomalies!$D$2:$D$81,$A9,Data_Anomalies!$C$2:$C$81,L$1)</f>
        <v>0</v>
      </c>
      <c r="M9" s="71" t="n">
        <f aca="false">SUMIFS(Data_Anomalies!$I$2:$I$81,Data_Anomalies!$D$2:$D$81,$A9,Data_Anomalies!$C$2:$C$81,M$1)</f>
        <v>0</v>
      </c>
      <c r="N9" s="71" t="n">
        <f aca="false">SUMIFS(Data_Anomalies!$I$2:$I$81,Data_Anomalies!$D$2:$D$81,$A9,Data_Anomalies!$C$2:$C$81,N$1)</f>
        <v>0</v>
      </c>
      <c r="O9" s="71" t="n">
        <f aca="false">SUMIFS(Data_Anomalies!$I$2:$I$81,Data_Anomalies!$D$2:$D$81,$A9,Data_Anomalies!$C$2:$C$81,O$1)</f>
        <v>201669</v>
      </c>
      <c r="P9" s="69" t="str">
        <f aca="false">IF(G9=0,"—",INDEX($J$1:$O$1,MATCH(MAX(J9:O9),J9:O9,0)))</f>
        <v>Marketing Services</v>
      </c>
    </row>
    <row r="10" customFormat="false" ht="15" hidden="false" customHeight="false" outlineLevel="0" collapsed="false">
      <c r="A10" s="69" t="s">
        <v>286</v>
      </c>
      <c r="B10" s="71" t="n">
        <v>131264849</v>
      </c>
      <c r="C10" s="71" t="n">
        <v>2053</v>
      </c>
      <c r="D10" s="71" t="n">
        <f aca="false">B10/C10</f>
        <v>63938.0657574282</v>
      </c>
      <c r="E10" s="73" t="n">
        <f aca="false">B10/SUM($B$2:$B$51)</f>
        <v>0.0208502862691209</v>
      </c>
      <c r="F10" s="71" t="n">
        <f aca="false">COUNTIF(Data_Anomalies!$D$2:$D$81,A10)</f>
        <v>0</v>
      </c>
      <c r="G10" s="71" t="n">
        <f aca="false">SUMIF(Data_Anomalies!$D$2:$D$81,A10,Data_Anomalies!$I$2:$I$81)</f>
        <v>0</v>
      </c>
      <c r="H10" s="69" t="str">
        <f aca="false">IF(F10&gt;=Parameters!$B$3,"HIGH",IF(F10&gt;=Parameters!$B$4,"ELEVATED","LOW"))</f>
        <v>LOW</v>
      </c>
      <c r="I10" s="74" t="n">
        <f aca="false">SUMIF($B$2:$B$51,"&gt;="&amp;B10)/SUM($B$2:$B$51)</f>
        <v>0.20816597828856</v>
      </c>
      <c r="J10" s="71" t="n">
        <f aca="false">SUMIFS(Data_Anomalies!$I$2:$I$81,Data_Anomalies!$D$2:$D$81,$A10,Data_Anomalies!$C$2:$C$81,J$1)</f>
        <v>0</v>
      </c>
      <c r="K10" s="71" t="n">
        <f aca="false">SUMIFS(Data_Anomalies!$I$2:$I$81,Data_Anomalies!$D$2:$D$81,$A10,Data_Anomalies!$C$2:$C$81,K$1)</f>
        <v>0</v>
      </c>
      <c r="L10" s="71" t="n">
        <f aca="false">SUMIFS(Data_Anomalies!$I$2:$I$81,Data_Anomalies!$D$2:$D$81,$A10,Data_Anomalies!$C$2:$C$81,L$1)</f>
        <v>0</v>
      </c>
      <c r="M10" s="71" t="n">
        <f aca="false">SUMIFS(Data_Anomalies!$I$2:$I$81,Data_Anomalies!$D$2:$D$81,$A10,Data_Anomalies!$C$2:$C$81,M$1)</f>
        <v>0</v>
      </c>
      <c r="N10" s="71" t="n">
        <f aca="false">SUMIFS(Data_Anomalies!$I$2:$I$81,Data_Anomalies!$D$2:$D$81,$A10,Data_Anomalies!$C$2:$C$81,N$1)</f>
        <v>0</v>
      </c>
      <c r="O10" s="71" t="n">
        <f aca="false">SUMIFS(Data_Anomalies!$I$2:$I$81,Data_Anomalies!$D$2:$D$81,$A10,Data_Anomalies!$C$2:$C$81,O$1)</f>
        <v>0</v>
      </c>
      <c r="P10" s="69" t="str">
        <f aca="false">IF(G10=0,"—",INDEX($J$1:$O$1,MATCH(MAX(J10:O10),J10:O10,0)))</f>
        <v>—</v>
      </c>
    </row>
    <row r="11" customFormat="false" ht="15" hidden="false" customHeight="false" outlineLevel="0" collapsed="false">
      <c r="A11" s="69" t="s">
        <v>186</v>
      </c>
      <c r="B11" s="71" t="n">
        <v>130938159</v>
      </c>
      <c r="C11" s="71" t="n">
        <v>2014</v>
      </c>
      <c r="D11" s="71" t="n">
        <f aca="false">B11/C11</f>
        <v>65013.9816285998</v>
      </c>
      <c r="E11" s="73" t="n">
        <f aca="false">B11/SUM($B$2:$B$51)</f>
        <v>0.0207983943873784</v>
      </c>
      <c r="F11" s="71" t="n">
        <f aca="false">COUNTIF(Data_Anomalies!$D$2:$D$81,A11)</f>
        <v>2</v>
      </c>
      <c r="G11" s="71" t="n">
        <f aca="false">SUMIF(Data_Anomalies!$D$2:$D$81,A11,Data_Anomalies!$I$2:$I$81)</f>
        <v>2185128.7</v>
      </c>
      <c r="H11" s="69" t="str">
        <f aca="false">IF(F11&gt;=Parameters!$B$3,"HIGH",IF(F11&gt;=Parameters!$B$4,"ELEVATED","LOW"))</f>
        <v>ELEVATED</v>
      </c>
      <c r="I11" s="74" t="n">
        <f aca="false">SUMIF($B$2:$B$51,"&gt;="&amp;B11)/SUM($B$2:$B$51)</f>
        <v>0.228964372675939</v>
      </c>
      <c r="J11" s="71" t="n">
        <f aca="false">SUMIFS(Data_Anomalies!$I$2:$I$81,Data_Anomalies!$D$2:$D$81,$A11,Data_Anomalies!$C$2:$C$81,J$1)</f>
        <v>0</v>
      </c>
      <c r="K11" s="71" t="n">
        <f aca="false">SUMIFS(Data_Anomalies!$I$2:$I$81,Data_Anomalies!$D$2:$D$81,$A11,Data_Anomalies!$C$2:$C$81,K$1)</f>
        <v>0</v>
      </c>
      <c r="L11" s="71" t="n">
        <f aca="false">SUMIFS(Data_Anomalies!$I$2:$I$81,Data_Anomalies!$D$2:$D$81,$A11,Data_Anomalies!$C$2:$C$81,L$1)</f>
        <v>0</v>
      </c>
      <c r="M11" s="71" t="n">
        <f aca="false">SUMIFS(Data_Anomalies!$I$2:$I$81,Data_Anomalies!$D$2:$D$81,$A11,Data_Anomalies!$C$2:$C$81,M$1)</f>
        <v>2153228</v>
      </c>
      <c r="N11" s="71" t="n">
        <f aca="false">SUMIFS(Data_Anomalies!$I$2:$I$81,Data_Anomalies!$D$2:$D$81,$A11,Data_Anomalies!$C$2:$C$81,N$1)</f>
        <v>0</v>
      </c>
      <c r="O11" s="71" t="n">
        <f aca="false">SUMIFS(Data_Anomalies!$I$2:$I$81,Data_Anomalies!$D$2:$D$81,$A11,Data_Anomalies!$C$2:$C$81,O$1)</f>
        <v>31900.7</v>
      </c>
      <c r="P11" s="69" t="str">
        <f aca="false">IF(G11=0,"—",INDEX($J$1:$O$1,MATCH(MAX(J11:O11),J11:O11,0)))</f>
        <v>Logistics</v>
      </c>
    </row>
    <row r="12" customFormat="false" ht="15" hidden="false" customHeight="false" outlineLevel="0" collapsed="false">
      <c r="A12" s="69" t="s">
        <v>287</v>
      </c>
      <c r="B12" s="71" t="n">
        <v>129965840</v>
      </c>
      <c r="C12" s="71" t="n">
        <v>2078</v>
      </c>
      <c r="D12" s="71" t="n">
        <f aca="false">B12/C12</f>
        <v>62543.7151106834</v>
      </c>
      <c r="E12" s="73" t="n">
        <f aca="false">B12/SUM($B$2:$B$51)</f>
        <v>0.020643949921481</v>
      </c>
      <c r="F12" s="71" t="n">
        <f aca="false">COUNTIF(Data_Anomalies!$D$2:$D$81,A12)</f>
        <v>0</v>
      </c>
      <c r="G12" s="71" t="n">
        <f aca="false">SUMIF(Data_Anomalies!$D$2:$D$81,A12,Data_Anomalies!$I$2:$I$81)</f>
        <v>0</v>
      </c>
      <c r="H12" s="69" t="str">
        <f aca="false">IF(F12&gt;=Parameters!$B$3,"HIGH",IF(F12&gt;=Parameters!$B$4,"ELEVATED","LOW"))</f>
        <v>LOW</v>
      </c>
      <c r="I12" s="74" t="n">
        <f aca="false">SUMIF($B$2:$B$51,"&gt;="&amp;B12)/SUM($B$2:$B$51)</f>
        <v>0.24960832259742</v>
      </c>
      <c r="J12" s="71" t="n">
        <f aca="false">SUMIFS(Data_Anomalies!$I$2:$I$81,Data_Anomalies!$D$2:$D$81,$A12,Data_Anomalies!$C$2:$C$81,J$1)</f>
        <v>0</v>
      </c>
      <c r="K12" s="71" t="n">
        <f aca="false">SUMIFS(Data_Anomalies!$I$2:$I$81,Data_Anomalies!$D$2:$D$81,$A12,Data_Anomalies!$C$2:$C$81,K$1)</f>
        <v>0</v>
      </c>
      <c r="L12" s="71" t="n">
        <f aca="false">SUMIFS(Data_Anomalies!$I$2:$I$81,Data_Anomalies!$D$2:$D$81,$A12,Data_Anomalies!$C$2:$C$81,L$1)</f>
        <v>0</v>
      </c>
      <c r="M12" s="71" t="n">
        <f aca="false">SUMIFS(Data_Anomalies!$I$2:$I$81,Data_Anomalies!$D$2:$D$81,$A12,Data_Anomalies!$C$2:$C$81,M$1)</f>
        <v>0</v>
      </c>
      <c r="N12" s="71" t="n">
        <f aca="false">SUMIFS(Data_Anomalies!$I$2:$I$81,Data_Anomalies!$D$2:$D$81,$A12,Data_Anomalies!$C$2:$C$81,N$1)</f>
        <v>0</v>
      </c>
      <c r="O12" s="71" t="n">
        <f aca="false">SUMIFS(Data_Anomalies!$I$2:$I$81,Data_Anomalies!$D$2:$D$81,$A12,Data_Anomalies!$C$2:$C$81,O$1)</f>
        <v>0</v>
      </c>
      <c r="P12" s="69" t="str">
        <f aca="false">IF(G12=0,"—",INDEX($J$1:$O$1,MATCH(MAX(J12:O12),J12:O12,0)))</f>
        <v>—</v>
      </c>
    </row>
    <row r="13" customFormat="false" ht="15" hidden="false" customHeight="false" outlineLevel="0" collapsed="false">
      <c r="A13" s="69" t="s">
        <v>173</v>
      </c>
      <c r="B13" s="71" t="n">
        <v>129040275</v>
      </c>
      <c r="C13" s="71" t="n">
        <v>2018</v>
      </c>
      <c r="D13" s="71" t="n">
        <f aca="false">B13/C13</f>
        <v>63944.635777998</v>
      </c>
      <c r="E13" s="73" t="n">
        <f aca="false">B13/SUM($B$2:$B$51)</f>
        <v>0.0204969319242205</v>
      </c>
      <c r="F13" s="71" t="n">
        <f aca="false">COUNTIF(Data_Anomalies!$D$2:$D$81,A13)</f>
        <v>5</v>
      </c>
      <c r="G13" s="71" t="n">
        <f aca="false">SUMIF(Data_Anomalies!$D$2:$D$81,A13,Data_Anomalies!$I$2:$I$81)</f>
        <v>8209156.76</v>
      </c>
      <c r="H13" s="69" t="str">
        <f aca="false">IF(F13&gt;=Parameters!$B$3,"HIGH",IF(F13&gt;=Parameters!$B$4,"ELEVATED","LOW"))</f>
        <v>HIGH</v>
      </c>
      <c r="I13" s="74" t="n">
        <f aca="false">SUMIF($B$2:$B$51,"&gt;="&amp;B13)/SUM($B$2:$B$51)</f>
        <v>0.27010525452164</v>
      </c>
      <c r="J13" s="71" t="n">
        <f aca="false">SUMIFS(Data_Anomalies!$I$2:$I$81,Data_Anomalies!$D$2:$D$81,$A13,Data_Anomalies!$C$2:$C$81,J$1)</f>
        <v>0</v>
      </c>
      <c r="K13" s="71" t="n">
        <f aca="false">SUMIFS(Data_Anomalies!$I$2:$I$81,Data_Anomalies!$D$2:$D$81,$A13,Data_Anomalies!$C$2:$C$81,K$1)</f>
        <v>5989722.66</v>
      </c>
      <c r="L13" s="71" t="n">
        <f aca="false">SUMIFS(Data_Anomalies!$I$2:$I$81,Data_Anomalies!$D$2:$D$81,$A13,Data_Anomalies!$C$2:$C$81,L$1)</f>
        <v>0</v>
      </c>
      <c r="M13" s="71" t="n">
        <f aca="false">SUMIFS(Data_Anomalies!$I$2:$I$81,Data_Anomalies!$D$2:$D$81,$A13,Data_Anomalies!$C$2:$C$81,M$1)</f>
        <v>115588.1</v>
      </c>
      <c r="N13" s="71" t="n">
        <f aca="false">SUMIFS(Data_Anomalies!$I$2:$I$81,Data_Anomalies!$D$2:$D$81,$A13,Data_Anomalies!$C$2:$C$81,N$1)</f>
        <v>2103846</v>
      </c>
      <c r="O13" s="71" t="n">
        <f aca="false">SUMIFS(Data_Anomalies!$I$2:$I$81,Data_Anomalies!$D$2:$D$81,$A13,Data_Anomalies!$C$2:$C$81,O$1)</f>
        <v>0</v>
      </c>
      <c r="P13" s="69" t="str">
        <f aca="false">IF(G13=0,"—",INDEX($J$1:$O$1,MATCH(MAX(J13:O13),J13:O13,0)))</f>
        <v>Marketing Services</v>
      </c>
    </row>
    <row r="14" customFormat="false" ht="15" hidden="false" customHeight="false" outlineLevel="0" collapsed="false">
      <c r="A14" s="69" t="s">
        <v>160</v>
      </c>
      <c r="B14" s="71" t="n">
        <v>128678298</v>
      </c>
      <c r="C14" s="71" t="n">
        <v>2028</v>
      </c>
      <c r="D14" s="71" t="n">
        <f aca="false">B14/C14</f>
        <v>63450.8372781065</v>
      </c>
      <c r="E14" s="73" t="n">
        <f aca="false">B14/SUM($B$2:$B$51)</f>
        <v>0.0204394350076405</v>
      </c>
      <c r="F14" s="71" t="n">
        <f aca="false">COUNTIF(Data_Anomalies!$D$2:$D$81,A14)</f>
        <v>1</v>
      </c>
      <c r="G14" s="71" t="n">
        <f aca="false">SUMIF(Data_Anomalies!$D$2:$D$81,A14,Data_Anomalies!$I$2:$I$81)</f>
        <v>10014222</v>
      </c>
      <c r="H14" s="69" t="str">
        <f aca="false">IF(F14&gt;=Parameters!$B$3,"HIGH",IF(F14&gt;=Parameters!$B$4,"ELEVATED","LOW"))</f>
        <v>LOW</v>
      </c>
      <c r="I14" s="74" t="n">
        <f aca="false">SUMIF($B$2:$B$51,"&gt;="&amp;B14)/SUM($B$2:$B$51)</f>
        <v>0.290544689529281</v>
      </c>
      <c r="J14" s="71" t="n">
        <f aca="false">SUMIFS(Data_Anomalies!$I$2:$I$81,Data_Anomalies!$D$2:$D$81,$A14,Data_Anomalies!$C$2:$C$81,J$1)</f>
        <v>0</v>
      </c>
      <c r="K14" s="71" t="n">
        <f aca="false">SUMIFS(Data_Anomalies!$I$2:$I$81,Data_Anomalies!$D$2:$D$81,$A14,Data_Anomalies!$C$2:$C$81,K$1)</f>
        <v>10014222</v>
      </c>
      <c r="L14" s="71" t="n">
        <f aca="false">SUMIFS(Data_Anomalies!$I$2:$I$81,Data_Anomalies!$D$2:$D$81,$A14,Data_Anomalies!$C$2:$C$81,L$1)</f>
        <v>0</v>
      </c>
      <c r="M14" s="71" t="n">
        <f aca="false">SUMIFS(Data_Anomalies!$I$2:$I$81,Data_Anomalies!$D$2:$D$81,$A14,Data_Anomalies!$C$2:$C$81,M$1)</f>
        <v>0</v>
      </c>
      <c r="N14" s="71" t="n">
        <f aca="false">SUMIFS(Data_Anomalies!$I$2:$I$81,Data_Anomalies!$D$2:$D$81,$A14,Data_Anomalies!$C$2:$C$81,N$1)</f>
        <v>0</v>
      </c>
      <c r="O14" s="71" t="n">
        <f aca="false">SUMIFS(Data_Anomalies!$I$2:$I$81,Data_Anomalies!$D$2:$D$81,$A14,Data_Anomalies!$C$2:$C$81,O$1)</f>
        <v>0</v>
      </c>
      <c r="P14" s="69" t="str">
        <f aca="false">IF(G14=0,"—",INDEX($J$1:$O$1,MATCH(MAX(J14:O14),J14:O14,0)))</f>
        <v>Marketing Services</v>
      </c>
    </row>
    <row r="15" customFormat="false" ht="15" hidden="false" customHeight="false" outlineLevel="0" collapsed="false">
      <c r="A15" s="69" t="s">
        <v>220</v>
      </c>
      <c r="B15" s="71" t="n">
        <v>128494881</v>
      </c>
      <c r="C15" s="71" t="n">
        <v>2027</v>
      </c>
      <c r="D15" s="71" t="n">
        <f aca="false">B15/C15</f>
        <v>63391.6531820424</v>
      </c>
      <c r="E15" s="73" t="n">
        <f aca="false">B15/SUM($B$2:$B$51)</f>
        <v>0.0204103008031238</v>
      </c>
      <c r="F15" s="71" t="n">
        <f aca="false">COUNTIF(Data_Anomalies!$D$2:$D$81,A15)</f>
        <v>2</v>
      </c>
      <c r="G15" s="71" t="n">
        <f aca="false">SUMIF(Data_Anomalies!$D$2:$D$81,A15,Data_Anomalies!$I$2:$I$81)</f>
        <v>465874.16</v>
      </c>
      <c r="H15" s="69" t="str">
        <f aca="false">IF(F15&gt;=Parameters!$B$3,"HIGH",IF(F15&gt;=Parameters!$B$4,"ELEVATED","LOW"))</f>
        <v>ELEVATED</v>
      </c>
      <c r="I15" s="74" t="n">
        <f aca="false">SUMIF($B$2:$B$51,"&gt;="&amp;B15)/SUM($B$2:$B$51)</f>
        <v>0.310954990332405</v>
      </c>
      <c r="J15" s="71" t="n">
        <f aca="false">SUMIFS(Data_Anomalies!$I$2:$I$81,Data_Anomalies!$D$2:$D$81,$A15,Data_Anomalies!$C$2:$C$81,J$1)</f>
        <v>0</v>
      </c>
      <c r="K15" s="71" t="n">
        <f aca="false">SUMIFS(Data_Anomalies!$I$2:$I$81,Data_Anomalies!$D$2:$D$81,$A15,Data_Anomalies!$C$2:$C$81,K$1)</f>
        <v>0</v>
      </c>
      <c r="L15" s="71" t="n">
        <f aca="false">SUMIFS(Data_Anomalies!$I$2:$I$81,Data_Anomalies!$D$2:$D$81,$A15,Data_Anomalies!$C$2:$C$81,L$1)</f>
        <v>0</v>
      </c>
      <c r="M15" s="71" t="n">
        <f aca="false">SUMIFS(Data_Anomalies!$I$2:$I$81,Data_Anomalies!$D$2:$D$81,$A15,Data_Anomalies!$C$2:$C$81,M$1)</f>
        <v>419540</v>
      </c>
      <c r="N15" s="71" t="n">
        <f aca="false">SUMIFS(Data_Anomalies!$I$2:$I$81,Data_Anomalies!$D$2:$D$81,$A15,Data_Anomalies!$C$2:$C$81,N$1)</f>
        <v>0</v>
      </c>
      <c r="O15" s="71" t="n">
        <f aca="false">SUMIFS(Data_Anomalies!$I$2:$I$81,Data_Anomalies!$D$2:$D$81,$A15,Data_Anomalies!$C$2:$C$81,O$1)</f>
        <v>46334.16</v>
      </c>
      <c r="P15" s="69" t="str">
        <f aca="false">IF(G15=0,"—",INDEX($J$1:$O$1,MATCH(MAX(J15:O15),J15:O15,0)))</f>
        <v>Logistics</v>
      </c>
    </row>
    <row r="16" customFormat="false" ht="15" hidden="false" customHeight="false" outlineLevel="0" collapsed="false">
      <c r="A16" s="69" t="s">
        <v>165</v>
      </c>
      <c r="B16" s="71" t="n">
        <v>127943608</v>
      </c>
      <c r="C16" s="71" t="n">
        <v>1922</v>
      </c>
      <c r="D16" s="71" t="n">
        <f aca="false">B16/C16</f>
        <v>66567.95421436</v>
      </c>
      <c r="E16" s="73" t="n">
        <f aca="false">B16/SUM($B$2:$B$51)</f>
        <v>0.0203227358537105</v>
      </c>
      <c r="F16" s="71" t="n">
        <f aca="false">COUNTIF(Data_Anomalies!$D$2:$D$81,A16)</f>
        <v>3</v>
      </c>
      <c r="G16" s="71" t="n">
        <f aca="false">SUMIF(Data_Anomalies!$D$2:$D$81,A16,Data_Anomalies!$I$2:$I$81)</f>
        <v>7215846.25</v>
      </c>
      <c r="H16" s="69" t="str">
        <f aca="false">IF(F16&gt;=Parameters!$B$3,"HIGH",IF(F16&gt;=Parameters!$B$4,"ELEVATED","LOW"))</f>
        <v>ELEVATED</v>
      </c>
      <c r="I16" s="74" t="n">
        <f aca="false">SUMIF($B$2:$B$51,"&gt;="&amp;B16)/SUM($B$2:$B$51)</f>
        <v>0.331277726186115</v>
      </c>
      <c r="J16" s="71" t="n">
        <f aca="false">SUMIFS(Data_Anomalies!$I$2:$I$81,Data_Anomalies!$D$2:$D$81,$A16,Data_Anomalies!$C$2:$C$81,J$1)</f>
        <v>0</v>
      </c>
      <c r="K16" s="71" t="n">
        <f aca="false">SUMIFS(Data_Anomalies!$I$2:$I$81,Data_Anomalies!$D$2:$D$81,$A16,Data_Anomalies!$C$2:$C$81,K$1)</f>
        <v>6643636</v>
      </c>
      <c r="L16" s="71" t="n">
        <f aca="false">SUMIFS(Data_Anomalies!$I$2:$I$81,Data_Anomalies!$D$2:$D$81,$A16,Data_Anomalies!$C$2:$C$81,L$1)</f>
        <v>0</v>
      </c>
      <c r="M16" s="71" t="n">
        <f aca="false">SUMIFS(Data_Anomalies!$I$2:$I$81,Data_Anomalies!$D$2:$D$81,$A16,Data_Anomalies!$C$2:$C$81,M$1)</f>
        <v>0</v>
      </c>
      <c r="N16" s="71" t="n">
        <f aca="false">SUMIFS(Data_Anomalies!$I$2:$I$81,Data_Anomalies!$D$2:$D$81,$A16,Data_Anomalies!$C$2:$C$81,N$1)</f>
        <v>572210.25</v>
      </c>
      <c r="O16" s="71" t="n">
        <f aca="false">SUMIFS(Data_Anomalies!$I$2:$I$81,Data_Anomalies!$D$2:$D$81,$A16,Data_Anomalies!$C$2:$C$81,O$1)</f>
        <v>0</v>
      </c>
      <c r="P16" s="69" t="str">
        <f aca="false">IF(G16=0,"—",INDEX($J$1:$O$1,MATCH(MAX(J16:O16),J16:O16,0)))</f>
        <v>Marketing Services</v>
      </c>
    </row>
    <row r="17" customFormat="false" ht="15" hidden="false" customHeight="false" outlineLevel="0" collapsed="false">
      <c r="A17" s="69" t="s">
        <v>163</v>
      </c>
      <c r="B17" s="71" t="n">
        <v>127833142</v>
      </c>
      <c r="C17" s="71" t="n">
        <v>2015</v>
      </c>
      <c r="D17" s="71" t="n">
        <f aca="false">B17/C17</f>
        <v>63440.7652605459</v>
      </c>
      <c r="E17" s="73" t="n">
        <f aca="false">B17/SUM($B$2:$B$51)</f>
        <v>0.0203051892847657</v>
      </c>
      <c r="F17" s="71" t="n">
        <f aca="false">COUNTIF(Data_Anomalies!$D$2:$D$81,A17)</f>
        <v>1</v>
      </c>
      <c r="G17" s="71" t="n">
        <f aca="false">SUMIF(Data_Anomalies!$D$2:$D$81,A17,Data_Anomalies!$I$2:$I$81)</f>
        <v>8012495</v>
      </c>
      <c r="H17" s="69" t="str">
        <f aca="false">IF(F17&gt;=Parameters!$B$3,"HIGH",IF(F17&gt;=Parameters!$B$4,"ELEVATED","LOW"))</f>
        <v>LOW</v>
      </c>
      <c r="I17" s="74" t="n">
        <f aca="false">SUMIF($B$2:$B$51,"&gt;="&amp;B17)/SUM($B$2:$B$51)</f>
        <v>0.351582915470881</v>
      </c>
      <c r="J17" s="71" t="n">
        <f aca="false">SUMIFS(Data_Anomalies!$I$2:$I$81,Data_Anomalies!$D$2:$D$81,$A17,Data_Anomalies!$C$2:$C$81,J$1)</f>
        <v>0</v>
      </c>
      <c r="K17" s="71" t="n">
        <f aca="false">SUMIFS(Data_Anomalies!$I$2:$I$81,Data_Anomalies!$D$2:$D$81,$A17,Data_Anomalies!$C$2:$C$81,K$1)</f>
        <v>8012495</v>
      </c>
      <c r="L17" s="71" t="n">
        <f aca="false">SUMIFS(Data_Anomalies!$I$2:$I$81,Data_Anomalies!$D$2:$D$81,$A17,Data_Anomalies!$C$2:$C$81,L$1)</f>
        <v>0</v>
      </c>
      <c r="M17" s="71" t="n">
        <f aca="false">SUMIFS(Data_Anomalies!$I$2:$I$81,Data_Anomalies!$D$2:$D$81,$A17,Data_Anomalies!$C$2:$C$81,M$1)</f>
        <v>0</v>
      </c>
      <c r="N17" s="71" t="n">
        <f aca="false">SUMIFS(Data_Anomalies!$I$2:$I$81,Data_Anomalies!$D$2:$D$81,$A17,Data_Anomalies!$C$2:$C$81,N$1)</f>
        <v>0</v>
      </c>
      <c r="O17" s="71" t="n">
        <f aca="false">SUMIFS(Data_Anomalies!$I$2:$I$81,Data_Anomalies!$D$2:$D$81,$A17,Data_Anomalies!$C$2:$C$81,O$1)</f>
        <v>0</v>
      </c>
      <c r="P17" s="69" t="str">
        <f aca="false">IF(G17=0,"—",INDEX($J$1:$O$1,MATCH(MAX(J17:O17),J17:O17,0)))</f>
        <v>Marketing Services</v>
      </c>
    </row>
    <row r="18" customFormat="false" ht="15" hidden="false" customHeight="false" outlineLevel="0" collapsed="false">
      <c r="A18" s="69" t="s">
        <v>213</v>
      </c>
      <c r="B18" s="71" t="n">
        <v>127570179</v>
      </c>
      <c r="C18" s="71" t="n">
        <v>2035</v>
      </c>
      <c r="D18" s="71" t="n">
        <f aca="false">B18/C18</f>
        <v>62688.0486486487</v>
      </c>
      <c r="E18" s="73" t="n">
        <f aca="false">B18/SUM($B$2:$B$51)</f>
        <v>0.0202634198859513</v>
      </c>
      <c r="F18" s="71" t="n">
        <f aca="false">COUNTIF(Data_Anomalies!$D$2:$D$81,A18)</f>
        <v>2</v>
      </c>
      <c r="G18" s="71" t="n">
        <f aca="false">SUMIF(Data_Anomalies!$D$2:$D$81,A18,Data_Anomalies!$I$2:$I$81)</f>
        <v>979185.44</v>
      </c>
      <c r="H18" s="69" t="str">
        <f aca="false">IF(F18&gt;=Parameters!$B$3,"HIGH",IF(F18&gt;=Parameters!$B$4,"ELEVATED","LOW"))</f>
        <v>ELEVATED</v>
      </c>
      <c r="I18" s="74" t="n">
        <f aca="false">SUMIF($B$2:$B$51,"&gt;="&amp;B18)/SUM($B$2:$B$51)</f>
        <v>0.371846335356832</v>
      </c>
      <c r="J18" s="71" t="n">
        <f aca="false">SUMIFS(Data_Anomalies!$I$2:$I$81,Data_Anomalies!$D$2:$D$81,$A18,Data_Anomalies!$C$2:$C$81,J$1)</f>
        <v>0</v>
      </c>
      <c r="K18" s="71" t="n">
        <f aca="false">SUMIFS(Data_Anomalies!$I$2:$I$81,Data_Anomalies!$D$2:$D$81,$A18,Data_Anomalies!$C$2:$C$81,K$1)</f>
        <v>509252</v>
      </c>
      <c r="L18" s="71" t="n">
        <f aca="false">SUMIFS(Data_Anomalies!$I$2:$I$81,Data_Anomalies!$D$2:$D$81,$A18,Data_Anomalies!$C$2:$C$81,L$1)</f>
        <v>0</v>
      </c>
      <c r="M18" s="71" t="n">
        <f aca="false">SUMIFS(Data_Anomalies!$I$2:$I$81,Data_Anomalies!$D$2:$D$81,$A18,Data_Anomalies!$C$2:$C$81,M$1)</f>
        <v>469933.44</v>
      </c>
      <c r="N18" s="71" t="n">
        <f aca="false">SUMIFS(Data_Anomalies!$I$2:$I$81,Data_Anomalies!$D$2:$D$81,$A18,Data_Anomalies!$C$2:$C$81,N$1)</f>
        <v>0</v>
      </c>
      <c r="O18" s="71" t="n">
        <f aca="false">SUMIFS(Data_Anomalies!$I$2:$I$81,Data_Anomalies!$D$2:$D$81,$A18,Data_Anomalies!$C$2:$C$81,O$1)</f>
        <v>0</v>
      </c>
      <c r="P18" s="69" t="str">
        <f aca="false">IF(G18=0,"—",INDEX($J$1:$O$1,MATCH(MAX(J18:O18),J18:O18,0)))</f>
        <v>Marketing Services</v>
      </c>
    </row>
    <row r="19" customFormat="false" ht="15" hidden="false" customHeight="false" outlineLevel="0" collapsed="false">
      <c r="A19" s="69" t="s">
        <v>288</v>
      </c>
      <c r="B19" s="71" t="n">
        <v>127229849</v>
      </c>
      <c r="C19" s="71" t="n">
        <v>2060</v>
      </c>
      <c r="D19" s="71" t="n">
        <f aca="false">B19/C19</f>
        <v>61762.0626213592</v>
      </c>
      <c r="E19" s="73" t="n">
        <f aca="false">B19/SUM($B$2:$B$51)</f>
        <v>0.0202093614081484</v>
      </c>
      <c r="F19" s="71" t="n">
        <f aca="false">COUNTIF(Data_Anomalies!$D$2:$D$81,A19)</f>
        <v>0</v>
      </c>
      <c r="G19" s="71" t="n">
        <f aca="false">SUMIF(Data_Anomalies!$D$2:$D$81,A19,Data_Anomalies!$I$2:$I$81)</f>
        <v>0</v>
      </c>
      <c r="H19" s="69" t="str">
        <f aca="false">IF(F19&gt;=Parameters!$B$3,"HIGH",IF(F19&gt;=Parameters!$B$4,"ELEVATED","LOW"))</f>
        <v>LOW</v>
      </c>
      <c r="I19" s="74" t="n">
        <f aca="false">SUMIF($B$2:$B$51,"&gt;="&amp;B19)/SUM($B$2:$B$51)</f>
        <v>0.39205569676498</v>
      </c>
      <c r="J19" s="71" t="n">
        <f aca="false">SUMIFS(Data_Anomalies!$I$2:$I$81,Data_Anomalies!$D$2:$D$81,$A19,Data_Anomalies!$C$2:$C$81,J$1)</f>
        <v>0</v>
      </c>
      <c r="K19" s="71" t="n">
        <f aca="false">SUMIFS(Data_Anomalies!$I$2:$I$81,Data_Anomalies!$D$2:$D$81,$A19,Data_Anomalies!$C$2:$C$81,K$1)</f>
        <v>0</v>
      </c>
      <c r="L19" s="71" t="n">
        <f aca="false">SUMIFS(Data_Anomalies!$I$2:$I$81,Data_Anomalies!$D$2:$D$81,$A19,Data_Anomalies!$C$2:$C$81,L$1)</f>
        <v>0</v>
      </c>
      <c r="M19" s="71" t="n">
        <f aca="false">SUMIFS(Data_Anomalies!$I$2:$I$81,Data_Anomalies!$D$2:$D$81,$A19,Data_Anomalies!$C$2:$C$81,M$1)</f>
        <v>0</v>
      </c>
      <c r="N19" s="71" t="n">
        <f aca="false">SUMIFS(Data_Anomalies!$I$2:$I$81,Data_Anomalies!$D$2:$D$81,$A19,Data_Anomalies!$C$2:$C$81,N$1)</f>
        <v>0</v>
      </c>
      <c r="O19" s="71" t="n">
        <f aca="false">SUMIFS(Data_Anomalies!$I$2:$I$81,Data_Anomalies!$D$2:$D$81,$A19,Data_Anomalies!$C$2:$C$81,O$1)</f>
        <v>0</v>
      </c>
      <c r="P19" s="69" t="str">
        <f aca="false">IF(G19=0,"—",INDEX($J$1:$O$1,MATCH(MAX(J19:O19),J19:O19,0)))</f>
        <v>—</v>
      </c>
    </row>
    <row r="20" customFormat="false" ht="15" hidden="false" customHeight="false" outlineLevel="0" collapsed="false">
      <c r="A20" s="69" t="s">
        <v>225</v>
      </c>
      <c r="B20" s="71" t="n">
        <v>124402394</v>
      </c>
      <c r="C20" s="71" t="n">
        <v>1975</v>
      </c>
      <c r="D20" s="71" t="n">
        <f aca="false">B20/C20</f>
        <v>62988.5539240506</v>
      </c>
      <c r="E20" s="73" t="n">
        <f aca="false">B20/SUM($B$2:$B$51)</f>
        <v>0.0197602446292684</v>
      </c>
      <c r="F20" s="71" t="n">
        <f aca="false">COUNTIF(Data_Anomalies!$D$2:$D$81,A20)</f>
        <v>2</v>
      </c>
      <c r="G20" s="71" t="n">
        <f aca="false">SUMIF(Data_Anomalies!$D$2:$D$81,A20,Data_Anomalies!$I$2:$I$81)</f>
        <v>569168.5</v>
      </c>
      <c r="H20" s="69" t="str">
        <f aca="false">IF(F20&gt;=Parameters!$B$3,"HIGH",IF(F20&gt;=Parameters!$B$4,"ELEVATED","LOW"))</f>
        <v>ELEVATED</v>
      </c>
      <c r="I20" s="74" t="n">
        <f aca="false">SUMIF($B$2:$B$51,"&gt;="&amp;B20)/SUM($B$2:$B$51)</f>
        <v>0.411815941394249</v>
      </c>
      <c r="J20" s="71" t="n">
        <f aca="false">SUMIFS(Data_Anomalies!$I$2:$I$81,Data_Anomalies!$D$2:$D$81,$A20,Data_Anomalies!$C$2:$C$81,J$1)</f>
        <v>0</v>
      </c>
      <c r="K20" s="71" t="n">
        <f aca="false">SUMIFS(Data_Anomalies!$I$2:$I$81,Data_Anomalies!$D$2:$D$81,$A20,Data_Anomalies!$C$2:$C$81,K$1)</f>
        <v>0</v>
      </c>
      <c r="L20" s="71" t="n">
        <f aca="false">SUMIFS(Data_Anomalies!$I$2:$I$81,Data_Anomalies!$D$2:$D$81,$A20,Data_Anomalies!$C$2:$C$81,L$1)</f>
        <v>0</v>
      </c>
      <c r="M20" s="71" t="n">
        <f aca="false">SUMIFS(Data_Anomalies!$I$2:$I$81,Data_Anomalies!$D$2:$D$81,$A20,Data_Anomalies!$C$2:$C$81,M$1)</f>
        <v>569168.5</v>
      </c>
      <c r="N20" s="71" t="n">
        <f aca="false">SUMIFS(Data_Anomalies!$I$2:$I$81,Data_Anomalies!$D$2:$D$81,$A20,Data_Anomalies!$C$2:$C$81,N$1)</f>
        <v>0</v>
      </c>
      <c r="O20" s="71" t="n">
        <f aca="false">SUMIFS(Data_Anomalies!$I$2:$I$81,Data_Anomalies!$D$2:$D$81,$A20,Data_Anomalies!$C$2:$C$81,O$1)</f>
        <v>0</v>
      </c>
      <c r="P20" s="69" t="str">
        <f aca="false">IF(G20=0,"—",INDEX($J$1:$O$1,MATCH(MAX(J20:O20),J20:O20,0)))</f>
        <v>Logistics</v>
      </c>
    </row>
    <row r="21" customFormat="false" ht="15" hidden="false" customHeight="false" outlineLevel="0" collapsed="false">
      <c r="A21" s="69" t="s">
        <v>248</v>
      </c>
      <c r="B21" s="71" t="n">
        <v>123669021</v>
      </c>
      <c r="C21" s="71" t="n">
        <v>2079</v>
      </c>
      <c r="D21" s="71" t="n">
        <f aca="false">B21/C21</f>
        <v>59484.8585858586</v>
      </c>
      <c r="E21" s="73" t="n">
        <f aca="false">B21/SUM($B$2:$B$51)</f>
        <v>0.0196437546694007</v>
      </c>
      <c r="F21" s="71" t="n">
        <f aca="false">COUNTIF(Data_Anomalies!$D$2:$D$81,A21)</f>
        <v>1</v>
      </c>
      <c r="G21" s="71" t="n">
        <f aca="false">SUMIF(Data_Anomalies!$D$2:$D$81,A21,Data_Anomalies!$I$2:$I$81)</f>
        <v>71867.3</v>
      </c>
      <c r="H21" s="69" t="str">
        <f aca="false">IF(F21&gt;=Parameters!$B$3,"HIGH",IF(F21&gt;=Parameters!$B$4,"ELEVATED","LOW"))</f>
        <v>LOW</v>
      </c>
      <c r="I21" s="74" t="n">
        <f aca="false">SUMIF($B$2:$B$51,"&gt;="&amp;B21)/SUM($B$2:$B$51)</f>
        <v>0.43145969606365</v>
      </c>
      <c r="J21" s="71" t="n">
        <f aca="false">SUMIFS(Data_Anomalies!$I$2:$I$81,Data_Anomalies!$D$2:$D$81,$A21,Data_Anomalies!$C$2:$C$81,J$1)</f>
        <v>0</v>
      </c>
      <c r="K21" s="71" t="n">
        <f aca="false">SUMIFS(Data_Anomalies!$I$2:$I$81,Data_Anomalies!$D$2:$D$81,$A21,Data_Anomalies!$C$2:$C$81,K$1)</f>
        <v>0</v>
      </c>
      <c r="L21" s="71" t="n">
        <f aca="false">SUMIFS(Data_Anomalies!$I$2:$I$81,Data_Anomalies!$D$2:$D$81,$A21,Data_Anomalies!$C$2:$C$81,L$1)</f>
        <v>0</v>
      </c>
      <c r="M21" s="71" t="n">
        <f aca="false">SUMIFS(Data_Anomalies!$I$2:$I$81,Data_Anomalies!$D$2:$D$81,$A21,Data_Anomalies!$C$2:$C$81,M$1)</f>
        <v>0</v>
      </c>
      <c r="N21" s="71" t="n">
        <f aca="false">SUMIFS(Data_Anomalies!$I$2:$I$81,Data_Anomalies!$D$2:$D$81,$A21,Data_Anomalies!$C$2:$C$81,N$1)</f>
        <v>0</v>
      </c>
      <c r="O21" s="71" t="n">
        <f aca="false">SUMIFS(Data_Anomalies!$I$2:$I$81,Data_Anomalies!$D$2:$D$81,$A21,Data_Anomalies!$C$2:$C$81,O$1)</f>
        <v>71867.3</v>
      </c>
      <c r="P21" s="69" t="str">
        <f aca="false">IF(G21=0,"—",INDEX($J$1:$O$1,MATCH(MAX(J21:O21),J21:O21,0)))</f>
        <v>Office Supplies</v>
      </c>
    </row>
    <row r="22" customFormat="false" ht="15" hidden="false" customHeight="false" outlineLevel="0" collapsed="false">
      <c r="A22" s="69" t="s">
        <v>289</v>
      </c>
      <c r="B22" s="71" t="n">
        <v>123547219</v>
      </c>
      <c r="C22" s="71" t="n">
        <v>2095</v>
      </c>
      <c r="D22" s="71" t="n">
        <f aca="false">B22/C22</f>
        <v>58972.4195704057</v>
      </c>
      <c r="E22" s="73" t="n">
        <f aca="false">B22/SUM($B$2:$B$51)</f>
        <v>0.0196244074748738</v>
      </c>
      <c r="F22" s="71" t="n">
        <f aca="false">COUNTIF(Data_Anomalies!$D$2:$D$81,A22)</f>
        <v>0</v>
      </c>
      <c r="G22" s="71" t="n">
        <f aca="false">SUMIF(Data_Anomalies!$D$2:$D$81,A22,Data_Anomalies!$I$2:$I$81)</f>
        <v>0</v>
      </c>
      <c r="H22" s="69" t="str">
        <f aca="false">IF(F22&gt;=Parameters!$B$3,"HIGH",IF(F22&gt;=Parameters!$B$4,"ELEVATED","LOW"))</f>
        <v>LOW</v>
      </c>
      <c r="I22" s="74" t="n">
        <f aca="false">SUMIF($B$2:$B$51,"&gt;="&amp;B22)/SUM($B$2:$B$51)</f>
        <v>0.451084103538523</v>
      </c>
      <c r="J22" s="71" t="n">
        <f aca="false">SUMIFS(Data_Anomalies!$I$2:$I$81,Data_Anomalies!$D$2:$D$81,$A22,Data_Anomalies!$C$2:$C$81,J$1)</f>
        <v>0</v>
      </c>
      <c r="K22" s="71" t="n">
        <f aca="false">SUMIFS(Data_Anomalies!$I$2:$I$81,Data_Anomalies!$D$2:$D$81,$A22,Data_Anomalies!$C$2:$C$81,K$1)</f>
        <v>0</v>
      </c>
      <c r="L22" s="71" t="n">
        <f aca="false">SUMIFS(Data_Anomalies!$I$2:$I$81,Data_Anomalies!$D$2:$D$81,$A22,Data_Anomalies!$C$2:$C$81,L$1)</f>
        <v>0</v>
      </c>
      <c r="M22" s="71" t="n">
        <f aca="false">SUMIFS(Data_Anomalies!$I$2:$I$81,Data_Anomalies!$D$2:$D$81,$A22,Data_Anomalies!$C$2:$C$81,M$1)</f>
        <v>0</v>
      </c>
      <c r="N22" s="71" t="n">
        <f aca="false">SUMIFS(Data_Anomalies!$I$2:$I$81,Data_Anomalies!$D$2:$D$81,$A22,Data_Anomalies!$C$2:$C$81,N$1)</f>
        <v>0</v>
      </c>
      <c r="O22" s="71" t="n">
        <f aca="false">SUMIFS(Data_Anomalies!$I$2:$I$81,Data_Anomalies!$D$2:$D$81,$A22,Data_Anomalies!$C$2:$C$81,O$1)</f>
        <v>0</v>
      </c>
      <c r="P22" s="69" t="str">
        <f aca="false">IF(G22=0,"—",INDEX($J$1:$O$1,MATCH(MAX(J22:O22),J22:O22,0)))</f>
        <v>—</v>
      </c>
    </row>
    <row r="23" customFormat="false" ht="15" hidden="false" customHeight="false" outlineLevel="0" collapsed="false">
      <c r="A23" s="69" t="s">
        <v>181</v>
      </c>
      <c r="B23" s="71" t="n">
        <v>123254524</v>
      </c>
      <c r="C23" s="71" t="n">
        <v>1947</v>
      </c>
      <c r="D23" s="71" t="n">
        <f aca="false">B23/C23</f>
        <v>63304.8402670776</v>
      </c>
      <c r="E23" s="73" t="n">
        <f aca="false">B23/SUM($B$2:$B$51)</f>
        <v>0.0195779154049401</v>
      </c>
      <c r="F23" s="71" t="n">
        <f aca="false">COUNTIF(Data_Anomalies!$D$2:$D$81,A23)</f>
        <v>1</v>
      </c>
      <c r="G23" s="71" t="n">
        <f aca="false">SUMIF(Data_Anomalies!$D$2:$D$81,A23,Data_Anomalies!$I$2:$I$81)</f>
        <v>3044448</v>
      </c>
      <c r="H23" s="69" t="str">
        <f aca="false">IF(F23&gt;=Parameters!$B$3,"HIGH",IF(F23&gt;=Parameters!$B$4,"ELEVATED","LOW"))</f>
        <v>LOW</v>
      </c>
      <c r="I23" s="74" t="n">
        <f aca="false">SUMIF($B$2:$B$51,"&gt;="&amp;B23)/SUM($B$2:$B$51)</f>
        <v>0.470662018943463</v>
      </c>
      <c r="J23" s="71" t="n">
        <f aca="false">SUMIFS(Data_Anomalies!$I$2:$I$81,Data_Anomalies!$D$2:$D$81,$A23,Data_Anomalies!$C$2:$C$81,J$1)</f>
        <v>0</v>
      </c>
      <c r="K23" s="71" t="n">
        <f aca="false">SUMIFS(Data_Anomalies!$I$2:$I$81,Data_Anomalies!$D$2:$D$81,$A23,Data_Anomalies!$C$2:$C$81,K$1)</f>
        <v>0</v>
      </c>
      <c r="L23" s="71" t="n">
        <f aca="false">SUMIFS(Data_Anomalies!$I$2:$I$81,Data_Anomalies!$D$2:$D$81,$A23,Data_Anomalies!$C$2:$C$81,L$1)</f>
        <v>0</v>
      </c>
      <c r="M23" s="71" t="n">
        <f aca="false">SUMIFS(Data_Anomalies!$I$2:$I$81,Data_Anomalies!$D$2:$D$81,$A23,Data_Anomalies!$C$2:$C$81,M$1)</f>
        <v>3044448</v>
      </c>
      <c r="N23" s="71" t="n">
        <f aca="false">SUMIFS(Data_Anomalies!$I$2:$I$81,Data_Anomalies!$D$2:$D$81,$A23,Data_Anomalies!$C$2:$C$81,N$1)</f>
        <v>0</v>
      </c>
      <c r="O23" s="71" t="n">
        <f aca="false">SUMIFS(Data_Anomalies!$I$2:$I$81,Data_Anomalies!$D$2:$D$81,$A23,Data_Anomalies!$C$2:$C$81,O$1)</f>
        <v>0</v>
      </c>
      <c r="P23" s="69" t="str">
        <f aca="false">IF(G23=0,"—",INDEX($J$1:$O$1,MATCH(MAX(J23:O23),J23:O23,0)))</f>
        <v>Logistics</v>
      </c>
    </row>
    <row r="24" customFormat="false" ht="15" hidden="false" customHeight="false" outlineLevel="0" collapsed="false">
      <c r="A24" s="69" t="s">
        <v>243</v>
      </c>
      <c r="B24" s="71" t="n">
        <v>122683264</v>
      </c>
      <c r="C24" s="71" t="n">
        <v>1931</v>
      </c>
      <c r="D24" s="71" t="n">
        <f aca="false">B24/C24</f>
        <v>63533.5390989125</v>
      </c>
      <c r="E24" s="73" t="n">
        <f aca="false">B24/SUM($B$2:$B$51)</f>
        <v>0.0194871756933963</v>
      </c>
      <c r="F24" s="71" t="n">
        <f aca="false">COUNTIF(Data_Anomalies!$D$2:$D$81,A24)</f>
        <v>2</v>
      </c>
      <c r="G24" s="71" t="n">
        <f aca="false">SUMIF(Data_Anomalies!$D$2:$D$81,A24,Data_Anomalies!$I$2:$I$81)</f>
        <v>181270.72</v>
      </c>
      <c r="H24" s="69" t="str">
        <f aca="false">IF(F24&gt;=Parameters!$B$3,"HIGH",IF(F24&gt;=Parameters!$B$4,"ELEVATED","LOW"))</f>
        <v>ELEVATED</v>
      </c>
      <c r="I24" s="74" t="n">
        <f aca="false">SUMIF($B$2:$B$51,"&gt;="&amp;B24)/SUM($B$2:$B$51)</f>
        <v>0.49014919463686</v>
      </c>
      <c r="J24" s="71" t="n">
        <f aca="false">SUMIFS(Data_Anomalies!$I$2:$I$81,Data_Anomalies!$D$2:$D$81,$A24,Data_Anomalies!$C$2:$C$81,J$1)</f>
        <v>0</v>
      </c>
      <c r="K24" s="71" t="n">
        <f aca="false">SUMIFS(Data_Anomalies!$I$2:$I$81,Data_Anomalies!$D$2:$D$81,$A24,Data_Anomalies!$C$2:$C$81,K$1)</f>
        <v>0</v>
      </c>
      <c r="L24" s="71" t="n">
        <f aca="false">SUMIFS(Data_Anomalies!$I$2:$I$81,Data_Anomalies!$D$2:$D$81,$A24,Data_Anomalies!$C$2:$C$81,L$1)</f>
        <v>161441.12</v>
      </c>
      <c r="M24" s="71" t="n">
        <f aca="false">SUMIFS(Data_Anomalies!$I$2:$I$81,Data_Anomalies!$D$2:$D$81,$A24,Data_Anomalies!$C$2:$C$81,M$1)</f>
        <v>0</v>
      </c>
      <c r="N24" s="71" t="n">
        <f aca="false">SUMIFS(Data_Anomalies!$I$2:$I$81,Data_Anomalies!$D$2:$D$81,$A24,Data_Anomalies!$C$2:$C$81,N$1)</f>
        <v>0</v>
      </c>
      <c r="O24" s="71" t="n">
        <f aca="false">SUMIFS(Data_Anomalies!$I$2:$I$81,Data_Anomalies!$D$2:$D$81,$A24,Data_Anomalies!$C$2:$C$81,O$1)</f>
        <v>19829.6</v>
      </c>
      <c r="P24" s="69" t="str">
        <f aca="false">IF(G24=0,"—",INDEX($J$1:$O$1,MATCH(MAX(J24:O24),J24:O24,0)))</f>
        <v>Media &amp; Energy</v>
      </c>
    </row>
    <row r="25" customFormat="false" ht="15" hidden="false" customHeight="false" outlineLevel="0" collapsed="false">
      <c r="A25" s="69" t="s">
        <v>290</v>
      </c>
      <c r="B25" s="71" t="n">
        <v>122168937</v>
      </c>
      <c r="C25" s="71" t="n">
        <v>1991</v>
      </c>
      <c r="D25" s="71" t="n">
        <f aca="false">B25/C25</f>
        <v>61360.591160221</v>
      </c>
      <c r="E25" s="73" t="n">
        <f aca="false">B25/SUM($B$2:$B$51)</f>
        <v>0.0194054792966257</v>
      </c>
      <c r="F25" s="71" t="n">
        <f aca="false">COUNTIF(Data_Anomalies!$D$2:$D$81,A25)</f>
        <v>0</v>
      </c>
      <c r="G25" s="71" t="n">
        <f aca="false">SUMIF(Data_Anomalies!$D$2:$D$81,A25,Data_Anomalies!$I$2:$I$81)</f>
        <v>0</v>
      </c>
      <c r="H25" s="69" t="str">
        <f aca="false">IF(F25&gt;=Parameters!$B$3,"HIGH",IF(F25&gt;=Parameters!$B$4,"ELEVATED","LOW"))</f>
        <v>LOW</v>
      </c>
      <c r="I25" s="74" t="n">
        <f aca="false">SUMIF($B$2:$B$51,"&gt;="&amp;B25)/SUM($B$2:$B$51)</f>
        <v>0.509554673933485</v>
      </c>
      <c r="J25" s="71" t="n">
        <f aca="false">SUMIFS(Data_Anomalies!$I$2:$I$81,Data_Anomalies!$D$2:$D$81,$A25,Data_Anomalies!$C$2:$C$81,J$1)</f>
        <v>0</v>
      </c>
      <c r="K25" s="71" t="n">
        <f aca="false">SUMIFS(Data_Anomalies!$I$2:$I$81,Data_Anomalies!$D$2:$D$81,$A25,Data_Anomalies!$C$2:$C$81,K$1)</f>
        <v>0</v>
      </c>
      <c r="L25" s="71" t="n">
        <f aca="false">SUMIFS(Data_Anomalies!$I$2:$I$81,Data_Anomalies!$D$2:$D$81,$A25,Data_Anomalies!$C$2:$C$81,L$1)</f>
        <v>0</v>
      </c>
      <c r="M25" s="71" t="n">
        <f aca="false">SUMIFS(Data_Anomalies!$I$2:$I$81,Data_Anomalies!$D$2:$D$81,$A25,Data_Anomalies!$C$2:$C$81,M$1)</f>
        <v>0</v>
      </c>
      <c r="N25" s="71" t="n">
        <f aca="false">SUMIFS(Data_Anomalies!$I$2:$I$81,Data_Anomalies!$D$2:$D$81,$A25,Data_Anomalies!$C$2:$C$81,N$1)</f>
        <v>0</v>
      </c>
      <c r="O25" s="71" t="n">
        <f aca="false">SUMIFS(Data_Anomalies!$I$2:$I$81,Data_Anomalies!$D$2:$D$81,$A25,Data_Anomalies!$C$2:$C$81,O$1)</f>
        <v>0</v>
      </c>
      <c r="P25" s="69" t="str">
        <f aca="false">IF(G25=0,"—",INDEX($J$1:$O$1,MATCH(MAX(J25:O25),J25:O25,0)))</f>
        <v>—</v>
      </c>
    </row>
    <row r="26" customFormat="false" ht="15" hidden="false" customHeight="false" outlineLevel="0" collapsed="false">
      <c r="A26" s="69" t="s">
        <v>291</v>
      </c>
      <c r="B26" s="71" t="n">
        <v>121822781</v>
      </c>
      <c r="C26" s="71" t="n">
        <v>2025</v>
      </c>
      <c r="D26" s="71" t="n">
        <f aca="false">B26/C26</f>
        <v>60159.3980246914</v>
      </c>
      <c r="E26" s="73" t="n">
        <f aca="false">B26/SUM($B$2:$B$51)</f>
        <v>0.0193504954090979</v>
      </c>
      <c r="F26" s="71" t="n">
        <f aca="false">COUNTIF(Data_Anomalies!$D$2:$D$81,A26)</f>
        <v>0</v>
      </c>
      <c r="G26" s="71" t="n">
        <f aca="false">SUMIF(Data_Anomalies!$D$2:$D$81,A26,Data_Anomalies!$I$2:$I$81)</f>
        <v>0</v>
      </c>
      <c r="H26" s="69" t="str">
        <f aca="false">IF(F26&gt;=Parameters!$B$3,"HIGH",IF(F26&gt;=Parameters!$B$4,"ELEVATED","LOW"))</f>
        <v>LOW</v>
      </c>
      <c r="I26" s="74" t="n">
        <f aca="false">SUMIF($B$2:$B$51,"&gt;="&amp;B26)/SUM($B$2:$B$51)</f>
        <v>0.528905169342583</v>
      </c>
      <c r="J26" s="71" t="n">
        <f aca="false">SUMIFS(Data_Anomalies!$I$2:$I$81,Data_Anomalies!$D$2:$D$81,$A26,Data_Anomalies!$C$2:$C$81,J$1)</f>
        <v>0</v>
      </c>
      <c r="K26" s="71" t="n">
        <f aca="false">SUMIFS(Data_Anomalies!$I$2:$I$81,Data_Anomalies!$D$2:$D$81,$A26,Data_Anomalies!$C$2:$C$81,K$1)</f>
        <v>0</v>
      </c>
      <c r="L26" s="71" t="n">
        <f aca="false">SUMIFS(Data_Anomalies!$I$2:$I$81,Data_Anomalies!$D$2:$D$81,$A26,Data_Anomalies!$C$2:$C$81,L$1)</f>
        <v>0</v>
      </c>
      <c r="M26" s="71" t="n">
        <f aca="false">SUMIFS(Data_Anomalies!$I$2:$I$81,Data_Anomalies!$D$2:$D$81,$A26,Data_Anomalies!$C$2:$C$81,M$1)</f>
        <v>0</v>
      </c>
      <c r="N26" s="71" t="n">
        <f aca="false">SUMIFS(Data_Anomalies!$I$2:$I$81,Data_Anomalies!$D$2:$D$81,$A26,Data_Anomalies!$C$2:$C$81,N$1)</f>
        <v>0</v>
      </c>
      <c r="O26" s="71" t="n">
        <f aca="false">SUMIFS(Data_Anomalies!$I$2:$I$81,Data_Anomalies!$D$2:$D$81,$A26,Data_Anomalies!$C$2:$C$81,O$1)</f>
        <v>0</v>
      </c>
      <c r="P26" s="69" t="str">
        <f aca="false">IF(G26=0,"—",INDEX($J$1:$O$1,MATCH(MAX(J26:O26),J26:O26,0)))</f>
        <v>—</v>
      </c>
    </row>
    <row r="27" customFormat="false" ht="15" hidden="false" customHeight="false" outlineLevel="0" collapsed="false">
      <c r="A27" s="69" t="s">
        <v>271</v>
      </c>
      <c r="B27" s="71" t="n">
        <v>121669347</v>
      </c>
      <c r="C27" s="71" t="n">
        <v>2000</v>
      </c>
      <c r="D27" s="71" t="n">
        <f aca="false">B27/C27</f>
        <v>60834.6735</v>
      </c>
      <c r="E27" s="73" t="n">
        <f aca="false">B27/SUM($B$2:$B$51)</f>
        <v>0.0193261237448802</v>
      </c>
      <c r="F27" s="71" t="n">
        <f aca="false">COUNTIF(Data_Anomalies!$D$2:$D$81,A27)</f>
        <v>1</v>
      </c>
      <c r="G27" s="71" t="n">
        <f aca="false">SUMIF(Data_Anomalies!$D$2:$D$81,A27,Data_Anomalies!$I$2:$I$81)</f>
        <v>10760.16</v>
      </c>
      <c r="H27" s="69" t="str">
        <f aca="false">IF(F27&gt;=Parameters!$B$3,"HIGH",IF(F27&gt;=Parameters!$B$4,"ELEVATED","LOW"))</f>
        <v>LOW</v>
      </c>
      <c r="I27" s="74" t="n">
        <f aca="false">SUMIF($B$2:$B$51,"&gt;="&amp;B27)/SUM($B$2:$B$51)</f>
        <v>0.548231293087463</v>
      </c>
      <c r="J27" s="71" t="n">
        <f aca="false">SUMIFS(Data_Anomalies!$I$2:$I$81,Data_Anomalies!$D$2:$D$81,$A27,Data_Anomalies!$C$2:$C$81,J$1)</f>
        <v>0</v>
      </c>
      <c r="K27" s="71" t="n">
        <f aca="false">SUMIFS(Data_Anomalies!$I$2:$I$81,Data_Anomalies!$D$2:$D$81,$A27,Data_Anomalies!$C$2:$C$81,K$1)</f>
        <v>0</v>
      </c>
      <c r="L27" s="71" t="n">
        <f aca="false">SUMIFS(Data_Anomalies!$I$2:$I$81,Data_Anomalies!$D$2:$D$81,$A27,Data_Anomalies!$C$2:$C$81,L$1)</f>
        <v>0</v>
      </c>
      <c r="M27" s="71" t="n">
        <f aca="false">SUMIFS(Data_Anomalies!$I$2:$I$81,Data_Anomalies!$D$2:$D$81,$A27,Data_Anomalies!$C$2:$C$81,M$1)</f>
        <v>10760.16</v>
      </c>
      <c r="N27" s="71" t="n">
        <f aca="false">SUMIFS(Data_Anomalies!$I$2:$I$81,Data_Anomalies!$D$2:$D$81,$A27,Data_Anomalies!$C$2:$C$81,N$1)</f>
        <v>0</v>
      </c>
      <c r="O27" s="71" t="n">
        <f aca="false">SUMIFS(Data_Anomalies!$I$2:$I$81,Data_Anomalies!$D$2:$D$81,$A27,Data_Anomalies!$C$2:$C$81,O$1)</f>
        <v>0</v>
      </c>
      <c r="P27" s="69" t="str">
        <f aca="false">IF(G27=0,"—",INDEX($J$1:$O$1,MATCH(MAX(J27:O27),J27:O27,0)))</f>
        <v>Logistics</v>
      </c>
    </row>
    <row r="28" customFormat="false" ht="15" hidden="false" customHeight="false" outlineLevel="0" collapsed="false">
      <c r="A28" s="69" t="s">
        <v>206</v>
      </c>
      <c r="B28" s="71" t="n">
        <v>121322654</v>
      </c>
      <c r="C28" s="71" t="n">
        <v>1956</v>
      </c>
      <c r="D28" s="71" t="n">
        <f aca="false">B28/C28</f>
        <v>62025.8967280164</v>
      </c>
      <c r="E28" s="73" t="n">
        <f aca="false">B28/SUM($B$2:$B$51)</f>
        <v>0.0192710545595456</v>
      </c>
      <c r="F28" s="71" t="n">
        <f aca="false">COUNTIF(Data_Anomalies!$D$2:$D$81,A28)</f>
        <v>4</v>
      </c>
      <c r="G28" s="71" t="n">
        <f aca="false">SUMIF(Data_Anomalies!$D$2:$D$81,A28,Data_Anomalies!$I$2:$I$81)</f>
        <v>1920318.68</v>
      </c>
      <c r="H28" s="69" t="str">
        <f aca="false">IF(F28&gt;=Parameters!$B$3,"HIGH",IF(F28&gt;=Parameters!$B$4,"ELEVATED","LOW"))</f>
        <v>HIGH</v>
      </c>
      <c r="I28" s="74" t="n">
        <f aca="false">SUMIF($B$2:$B$51,"&gt;="&amp;B28)/SUM($B$2:$B$51)</f>
        <v>0.567502347647009</v>
      </c>
      <c r="J28" s="71" t="n">
        <f aca="false">SUMIFS(Data_Anomalies!$I$2:$I$81,Data_Anomalies!$D$2:$D$81,$A28,Data_Anomalies!$C$2:$C$81,J$1)</f>
        <v>0</v>
      </c>
      <c r="K28" s="71" t="n">
        <f aca="false">SUMIFS(Data_Anomalies!$I$2:$I$81,Data_Anomalies!$D$2:$D$81,$A28,Data_Anomalies!$C$2:$C$81,K$1)</f>
        <v>1484381.88</v>
      </c>
      <c r="L28" s="71" t="n">
        <f aca="false">SUMIFS(Data_Anomalies!$I$2:$I$81,Data_Anomalies!$D$2:$D$81,$A28,Data_Anomalies!$C$2:$C$81,L$1)</f>
        <v>0</v>
      </c>
      <c r="M28" s="71" t="n">
        <f aca="false">SUMIFS(Data_Anomalies!$I$2:$I$81,Data_Anomalies!$D$2:$D$81,$A28,Data_Anomalies!$C$2:$C$81,M$1)</f>
        <v>167002.4</v>
      </c>
      <c r="N28" s="71" t="n">
        <f aca="false">SUMIFS(Data_Anomalies!$I$2:$I$81,Data_Anomalies!$D$2:$D$81,$A28,Data_Anomalies!$C$2:$C$81,N$1)</f>
        <v>268934.4</v>
      </c>
      <c r="O28" s="71" t="n">
        <f aca="false">SUMIFS(Data_Anomalies!$I$2:$I$81,Data_Anomalies!$D$2:$D$81,$A28,Data_Anomalies!$C$2:$C$81,O$1)</f>
        <v>0</v>
      </c>
      <c r="P28" s="69" t="str">
        <f aca="false">IF(G28=0,"—",INDEX($J$1:$O$1,MATCH(MAX(J28:O28),J28:O28,0)))</f>
        <v>Marketing Services</v>
      </c>
    </row>
    <row r="29" customFormat="false" ht="15" hidden="false" customHeight="false" outlineLevel="0" collapsed="false">
      <c r="A29" s="69" t="s">
        <v>202</v>
      </c>
      <c r="B29" s="71" t="n">
        <v>121288439</v>
      </c>
      <c r="C29" s="71" t="n">
        <v>1956</v>
      </c>
      <c r="D29" s="71" t="n">
        <f aca="false">B29/C29</f>
        <v>62008.404396728</v>
      </c>
      <c r="E29" s="73" t="n">
        <f aca="false">B29/SUM($B$2:$B$51)</f>
        <v>0.0192656198026389</v>
      </c>
      <c r="F29" s="71" t="n">
        <f aca="false">COUNTIF(Data_Anomalies!$D$2:$D$81,A29)</f>
        <v>3</v>
      </c>
      <c r="G29" s="71" t="n">
        <f aca="false">SUMIF(Data_Anomalies!$D$2:$D$81,A29,Data_Anomalies!$I$2:$I$81)</f>
        <v>1315833.66</v>
      </c>
      <c r="H29" s="69" t="str">
        <f aca="false">IF(F29&gt;=Parameters!$B$3,"HIGH",IF(F29&gt;=Parameters!$B$4,"ELEVATED","LOW"))</f>
        <v>ELEVATED</v>
      </c>
      <c r="I29" s="74" t="n">
        <f aca="false">SUMIF($B$2:$B$51,"&gt;="&amp;B29)/SUM($B$2:$B$51)</f>
        <v>0.586767967449648</v>
      </c>
      <c r="J29" s="71" t="n">
        <f aca="false">SUMIFS(Data_Anomalies!$I$2:$I$81,Data_Anomalies!$D$2:$D$81,$A29,Data_Anomalies!$C$2:$C$81,J$1)</f>
        <v>0</v>
      </c>
      <c r="K29" s="71" t="n">
        <f aca="false">SUMIFS(Data_Anomalies!$I$2:$I$81,Data_Anomalies!$D$2:$D$81,$A29,Data_Anomalies!$C$2:$C$81,K$1)</f>
        <v>0</v>
      </c>
      <c r="L29" s="71" t="n">
        <f aca="false">SUMIFS(Data_Anomalies!$I$2:$I$81,Data_Anomalies!$D$2:$D$81,$A29,Data_Anomalies!$C$2:$C$81,L$1)</f>
        <v>0</v>
      </c>
      <c r="M29" s="71" t="n">
        <f aca="false">SUMIFS(Data_Anomalies!$I$2:$I$81,Data_Anomalies!$D$2:$D$81,$A29,Data_Anomalies!$C$2:$C$81,M$1)</f>
        <v>0</v>
      </c>
      <c r="N29" s="71" t="n">
        <f aca="false">SUMIFS(Data_Anomalies!$I$2:$I$81,Data_Anomalies!$D$2:$D$81,$A29,Data_Anomalies!$C$2:$C$81,N$1)</f>
        <v>1272112.38</v>
      </c>
      <c r="O29" s="71" t="n">
        <f aca="false">SUMIFS(Data_Anomalies!$I$2:$I$81,Data_Anomalies!$D$2:$D$81,$A29,Data_Anomalies!$C$2:$C$81,O$1)</f>
        <v>43721.28</v>
      </c>
      <c r="P29" s="69" t="str">
        <f aca="false">IF(G29=0,"—",INDEX($J$1:$O$1,MATCH(MAX(J29:O29),J29:O29,0)))</f>
        <v>Raw Materials</v>
      </c>
    </row>
    <row r="30" customFormat="false" ht="15" hidden="false" customHeight="false" outlineLevel="0" collapsed="false">
      <c r="A30" s="69" t="s">
        <v>262</v>
      </c>
      <c r="B30" s="71" t="n">
        <v>121076145</v>
      </c>
      <c r="C30" s="71" t="n">
        <v>2005</v>
      </c>
      <c r="D30" s="71" t="n">
        <f aca="false">B30/C30</f>
        <v>60387.1047381546</v>
      </c>
      <c r="E30" s="73" t="n">
        <f aca="false">B30/SUM($B$2:$B$51)</f>
        <v>0.0192318987363601</v>
      </c>
      <c r="F30" s="71" t="n">
        <f aca="false">COUNTIF(Data_Anomalies!$D$2:$D$81,A30)</f>
        <v>2</v>
      </c>
      <c r="G30" s="71" t="n">
        <f aca="false">SUMIF(Data_Anomalies!$D$2:$D$81,A30,Data_Anomalies!$I$2:$I$81)</f>
        <v>35815.91</v>
      </c>
      <c r="H30" s="69" t="str">
        <f aca="false">IF(F30&gt;=Parameters!$B$3,"HIGH",IF(F30&gt;=Parameters!$B$4,"ELEVATED","LOW"))</f>
        <v>ELEVATED</v>
      </c>
      <c r="I30" s="74" t="n">
        <f aca="false">SUMIF($B$2:$B$51,"&gt;="&amp;B30)/SUM($B$2:$B$51)</f>
        <v>0.605999866186008</v>
      </c>
      <c r="J30" s="71" t="n">
        <f aca="false">SUMIFS(Data_Anomalies!$I$2:$I$81,Data_Anomalies!$D$2:$D$81,$A30,Data_Anomalies!$C$2:$C$81,J$1)</f>
        <v>0</v>
      </c>
      <c r="K30" s="71" t="n">
        <f aca="false">SUMIFS(Data_Anomalies!$I$2:$I$81,Data_Anomalies!$D$2:$D$81,$A30,Data_Anomalies!$C$2:$C$81,K$1)</f>
        <v>0</v>
      </c>
      <c r="L30" s="71" t="n">
        <f aca="false">SUMIFS(Data_Anomalies!$I$2:$I$81,Data_Anomalies!$D$2:$D$81,$A30,Data_Anomalies!$C$2:$C$81,L$1)</f>
        <v>0</v>
      </c>
      <c r="M30" s="71" t="n">
        <f aca="false">SUMIFS(Data_Anomalies!$I$2:$I$81,Data_Anomalies!$D$2:$D$81,$A30,Data_Anomalies!$C$2:$C$81,M$1)</f>
        <v>0</v>
      </c>
      <c r="N30" s="71" t="n">
        <f aca="false">SUMIFS(Data_Anomalies!$I$2:$I$81,Data_Anomalies!$D$2:$D$81,$A30,Data_Anomalies!$C$2:$C$81,N$1)</f>
        <v>29032.32</v>
      </c>
      <c r="O30" s="71" t="n">
        <f aca="false">SUMIFS(Data_Anomalies!$I$2:$I$81,Data_Anomalies!$D$2:$D$81,$A30,Data_Anomalies!$C$2:$C$81,O$1)</f>
        <v>6783.59</v>
      </c>
      <c r="P30" s="69" t="str">
        <f aca="false">IF(G30=0,"—",INDEX($J$1:$O$1,MATCH(MAX(J30:O30),J30:O30,0)))</f>
        <v>Raw Materials</v>
      </c>
    </row>
    <row r="31" customFormat="false" ht="15" hidden="false" customHeight="false" outlineLevel="0" collapsed="false">
      <c r="A31" s="69" t="s">
        <v>218</v>
      </c>
      <c r="B31" s="71" t="n">
        <v>120798496</v>
      </c>
      <c r="C31" s="71" t="n">
        <v>2003</v>
      </c>
      <c r="D31" s="71" t="n">
        <f aca="false">B31/C31</f>
        <v>60308.7848227659</v>
      </c>
      <c r="E31" s="73" t="n">
        <f aca="false">B31/SUM($B$2:$B$51)</f>
        <v>0.0191877965934297</v>
      </c>
      <c r="F31" s="71" t="n">
        <f aca="false">COUNTIF(Data_Anomalies!$D$2:$D$81,A31)</f>
        <v>3</v>
      </c>
      <c r="G31" s="71" t="n">
        <f aca="false">SUMIF(Data_Anomalies!$D$2:$D$81,A31,Data_Anomalies!$I$2:$I$81)</f>
        <v>439654.98</v>
      </c>
      <c r="H31" s="69" t="str">
        <f aca="false">IF(F31&gt;=Parameters!$B$3,"HIGH",IF(F31&gt;=Parameters!$B$4,"ELEVATED","LOW"))</f>
        <v>ELEVATED</v>
      </c>
      <c r="I31" s="74" t="n">
        <f aca="false">SUMIF($B$2:$B$51,"&gt;="&amp;B31)/SUM($B$2:$B$51)</f>
        <v>0.625187662779438</v>
      </c>
      <c r="J31" s="71" t="n">
        <f aca="false">SUMIFS(Data_Anomalies!$I$2:$I$81,Data_Anomalies!$D$2:$D$81,$A31,Data_Anomalies!$C$2:$C$81,J$1)</f>
        <v>0</v>
      </c>
      <c r="K31" s="71" t="n">
        <f aca="false">SUMIFS(Data_Anomalies!$I$2:$I$81,Data_Anomalies!$D$2:$D$81,$A31,Data_Anomalies!$C$2:$C$81,K$1)</f>
        <v>0</v>
      </c>
      <c r="L31" s="71" t="n">
        <f aca="false">SUMIFS(Data_Anomalies!$I$2:$I$81,Data_Anomalies!$D$2:$D$81,$A31,Data_Anomalies!$C$2:$C$81,L$1)</f>
        <v>419964</v>
      </c>
      <c r="M31" s="71" t="n">
        <f aca="false">SUMIFS(Data_Anomalies!$I$2:$I$81,Data_Anomalies!$D$2:$D$81,$A31,Data_Anomalies!$C$2:$C$81,M$1)</f>
        <v>0</v>
      </c>
      <c r="N31" s="71" t="n">
        <f aca="false">SUMIFS(Data_Anomalies!$I$2:$I$81,Data_Anomalies!$D$2:$D$81,$A31,Data_Anomalies!$C$2:$C$81,N$1)</f>
        <v>3030.98</v>
      </c>
      <c r="O31" s="71" t="n">
        <f aca="false">SUMIFS(Data_Anomalies!$I$2:$I$81,Data_Anomalies!$D$2:$D$81,$A31,Data_Anomalies!$C$2:$C$81,O$1)</f>
        <v>16660</v>
      </c>
      <c r="P31" s="69" t="str">
        <f aca="false">IF(G31=0,"—",INDEX($J$1:$O$1,MATCH(MAX(J31:O31),J31:O31,0)))</f>
        <v>Media &amp; Energy</v>
      </c>
    </row>
    <row r="32" customFormat="false" ht="15" hidden="false" customHeight="false" outlineLevel="0" collapsed="false">
      <c r="A32" s="69" t="s">
        <v>227</v>
      </c>
      <c r="B32" s="71" t="n">
        <v>120557342</v>
      </c>
      <c r="C32" s="71" t="n">
        <v>1948</v>
      </c>
      <c r="D32" s="71" t="n">
        <f aca="false">B32/C32</f>
        <v>61887.7525667351</v>
      </c>
      <c r="E32" s="73" t="n">
        <f aca="false">B32/SUM($B$2:$B$51)</f>
        <v>0.0191494913656916</v>
      </c>
      <c r="F32" s="71" t="n">
        <f aca="false">COUNTIF(Data_Anomalies!$D$2:$D$81,A32)</f>
        <v>1</v>
      </c>
      <c r="G32" s="71" t="n">
        <f aca="false">SUMIF(Data_Anomalies!$D$2:$D$81,A32,Data_Anomalies!$I$2:$I$81)</f>
        <v>293559.25</v>
      </c>
      <c r="H32" s="69" t="str">
        <f aca="false">IF(F32&gt;=Parameters!$B$3,"HIGH",IF(F32&gt;=Parameters!$B$4,"ELEVATED","LOW"))</f>
        <v>LOW</v>
      </c>
      <c r="I32" s="74" t="n">
        <f aca="false">SUMIF($B$2:$B$51,"&gt;="&amp;B32)/SUM($B$2:$B$51)</f>
        <v>0.644337154145129</v>
      </c>
      <c r="J32" s="71" t="n">
        <f aca="false">SUMIFS(Data_Anomalies!$I$2:$I$81,Data_Anomalies!$D$2:$D$81,$A32,Data_Anomalies!$C$2:$C$81,J$1)</f>
        <v>0</v>
      </c>
      <c r="K32" s="71" t="n">
        <f aca="false">SUMIFS(Data_Anomalies!$I$2:$I$81,Data_Anomalies!$D$2:$D$81,$A32,Data_Anomalies!$C$2:$C$81,K$1)</f>
        <v>0</v>
      </c>
      <c r="L32" s="71" t="n">
        <f aca="false">SUMIFS(Data_Anomalies!$I$2:$I$81,Data_Anomalies!$D$2:$D$81,$A32,Data_Anomalies!$C$2:$C$81,L$1)</f>
        <v>293559.25</v>
      </c>
      <c r="M32" s="71" t="n">
        <f aca="false">SUMIFS(Data_Anomalies!$I$2:$I$81,Data_Anomalies!$D$2:$D$81,$A32,Data_Anomalies!$C$2:$C$81,M$1)</f>
        <v>0</v>
      </c>
      <c r="N32" s="71" t="n">
        <f aca="false">SUMIFS(Data_Anomalies!$I$2:$I$81,Data_Anomalies!$D$2:$D$81,$A32,Data_Anomalies!$C$2:$C$81,N$1)</f>
        <v>0</v>
      </c>
      <c r="O32" s="71" t="n">
        <f aca="false">SUMIFS(Data_Anomalies!$I$2:$I$81,Data_Anomalies!$D$2:$D$81,$A32,Data_Anomalies!$C$2:$C$81,O$1)</f>
        <v>0</v>
      </c>
      <c r="P32" s="69" t="str">
        <f aca="false">IF(G32=0,"—",INDEX($J$1:$O$1,MATCH(MAX(J32:O32),J32:O32,0)))</f>
        <v>Media &amp; Energy</v>
      </c>
    </row>
    <row r="33" customFormat="false" ht="15" hidden="false" customHeight="false" outlineLevel="0" collapsed="false">
      <c r="A33" s="69" t="s">
        <v>171</v>
      </c>
      <c r="B33" s="71" t="n">
        <v>120551118</v>
      </c>
      <c r="C33" s="71" t="n">
        <v>1976</v>
      </c>
      <c r="D33" s="71" t="n">
        <f aca="false">B33/C33</f>
        <v>61007.6508097166</v>
      </c>
      <c r="E33" s="73" t="n">
        <f aca="false">B33/SUM($B$2:$B$51)</f>
        <v>0.0191485027371081</v>
      </c>
      <c r="F33" s="71" t="n">
        <f aca="false">COUNTIF(Data_Anomalies!$D$2:$D$81,A33)</f>
        <v>2</v>
      </c>
      <c r="G33" s="71" t="n">
        <f aca="false">SUMIF(Data_Anomalies!$D$2:$D$81,A33,Data_Anomalies!$I$2:$I$81)</f>
        <v>5788735.28</v>
      </c>
      <c r="H33" s="69" t="str">
        <f aca="false">IF(F33&gt;=Parameters!$B$3,"HIGH",IF(F33&gt;=Parameters!$B$4,"ELEVATED","LOW"))</f>
        <v>ELEVATED</v>
      </c>
      <c r="I33" s="74" t="n">
        <f aca="false">SUMIF($B$2:$B$51,"&gt;="&amp;B33)/SUM($B$2:$B$51)</f>
        <v>0.663485656882237</v>
      </c>
      <c r="J33" s="71" t="n">
        <f aca="false">SUMIFS(Data_Anomalies!$I$2:$I$81,Data_Anomalies!$D$2:$D$81,$A33,Data_Anomalies!$C$2:$C$81,J$1)</f>
        <v>5572446.42</v>
      </c>
      <c r="K33" s="71" t="n">
        <f aca="false">SUMIFS(Data_Anomalies!$I$2:$I$81,Data_Anomalies!$D$2:$D$81,$A33,Data_Anomalies!$C$2:$C$81,K$1)</f>
        <v>0</v>
      </c>
      <c r="L33" s="71" t="n">
        <f aca="false">SUMIFS(Data_Anomalies!$I$2:$I$81,Data_Anomalies!$D$2:$D$81,$A33,Data_Anomalies!$C$2:$C$81,L$1)</f>
        <v>0</v>
      </c>
      <c r="M33" s="71" t="n">
        <f aca="false">SUMIFS(Data_Anomalies!$I$2:$I$81,Data_Anomalies!$D$2:$D$81,$A33,Data_Anomalies!$C$2:$C$81,M$1)</f>
        <v>216288.86</v>
      </c>
      <c r="N33" s="71" t="n">
        <f aca="false">SUMIFS(Data_Anomalies!$I$2:$I$81,Data_Anomalies!$D$2:$D$81,$A33,Data_Anomalies!$C$2:$C$81,N$1)</f>
        <v>0</v>
      </c>
      <c r="O33" s="71" t="n">
        <f aca="false">SUMIFS(Data_Anomalies!$I$2:$I$81,Data_Anomalies!$D$2:$D$81,$A33,Data_Anomalies!$C$2:$C$81,O$1)</f>
        <v>0</v>
      </c>
      <c r="P33" s="69" t="str">
        <f aca="false">IF(G33=0,"—",INDEX($J$1:$O$1,MATCH(MAX(J33:O33),J33:O33,0)))</f>
        <v>IT Hardware</v>
      </c>
    </row>
    <row r="34" customFormat="false" ht="15" hidden="false" customHeight="false" outlineLevel="0" collapsed="false">
      <c r="A34" s="69" t="s">
        <v>222</v>
      </c>
      <c r="B34" s="71" t="n">
        <v>119913183</v>
      </c>
      <c r="C34" s="71" t="n">
        <v>2007</v>
      </c>
      <c r="D34" s="71" t="n">
        <f aca="false">B34/C34</f>
        <v>59747.4753363229</v>
      </c>
      <c r="E34" s="73" t="n">
        <f aca="false">B34/SUM($B$2:$B$51)</f>
        <v>0.0190471722783263</v>
      </c>
      <c r="F34" s="71" t="n">
        <f aca="false">COUNTIF(Data_Anomalies!$D$2:$D$81,A34)</f>
        <v>1</v>
      </c>
      <c r="G34" s="71" t="n">
        <f aca="false">SUMIF(Data_Anomalies!$D$2:$D$81,A34,Data_Anomalies!$I$2:$I$81)</f>
        <v>382284</v>
      </c>
      <c r="H34" s="69" t="str">
        <f aca="false">IF(F34&gt;=Parameters!$B$3,"HIGH",IF(F34&gt;=Parameters!$B$4,"ELEVATED","LOW"))</f>
        <v>LOW</v>
      </c>
      <c r="I34" s="74" t="n">
        <f aca="false">SUMIF($B$2:$B$51,"&gt;="&amp;B34)/SUM($B$2:$B$51)</f>
        <v>0.682532829160564</v>
      </c>
      <c r="J34" s="71" t="n">
        <f aca="false">SUMIFS(Data_Anomalies!$I$2:$I$81,Data_Anomalies!$D$2:$D$81,$A34,Data_Anomalies!$C$2:$C$81,J$1)</f>
        <v>0</v>
      </c>
      <c r="K34" s="71" t="n">
        <f aca="false">SUMIFS(Data_Anomalies!$I$2:$I$81,Data_Anomalies!$D$2:$D$81,$A34,Data_Anomalies!$C$2:$C$81,K$1)</f>
        <v>0</v>
      </c>
      <c r="L34" s="71" t="n">
        <f aca="false">SUMIFS(Data_Anomalies!$I$2:$I$81,Data_Anomalies!$D$2:$D$81,$A34,Data_Anomalies!$C$2:$C$81,L$1)</f>
        <v>0</v>
      </c>
      <c r="M34" s="71" t="n">
        <f aca="false">SUMIFS(Data_Anomalies!$I$2:$I$81,Data_Anomalies!$D$2:$D$81,$A34,Data_Anomalies!$C$2:$C$81,M$1)</f>
        <v>0</v>
      </c>
      <c r="N34" s="71" t="n">
        <f aca="false">SUMIFS(Data_Anomalies!$I$2:$I$81,Data_Anomalies!$D$2:$D$81,$A34,Data_Anomalies!$C$2:$C$81,N$1)</f>
        <v>382284</v>
      </c>
      <c r="O34" s="71" t="n">
        <f aca="false">SUMIFS(Data_Anomalies!$I$2:$I$81,Data_Anomalies!$D$2:$D$81,$A34,Data_Anomalies!$C$2:$C$81,O$1)</f>
        <v>0</v>
      </c>
      <c r="P34" s="69" t="str">
        <f aca="false">IF(G34=0,"—",INDEX($J$1:$O$1,MATCH(MAX(J34:O34),J34:O34,0)))</f>
        <v>Raw Materials</v>
      </c>
    </row>
    <row r="35" customFormat="false" ht="15" hidden="false" customHeight="false" outlineLevel="0" collapsed="false">
      <c r="A35" s="69" t="s">
        <v>229</v>
      </c>
      <c r="B35" s="71" t="n">
        <v>119707169</v>
      </c>
      <c r="C35" s="71" t="n">
        <v>1957</v>
      </c>
      <c r="D35" s="71" t="n">
        <f aca="false">B35/C35</f>
        <v>61168.7118037813</v>
      </c>
      <c r="E35" s="73" t="n">
        <f aca="false">B35/SUM($B$2:$B$51)</f>
        <v>0.0190144487357467</v>
      </c>
      <c r="F35" s="71" t="n">
        <f aca="false">COUNTIF(Data_Anomalies!$D$2:$D$81,A35)</f>
        <v>1</v>
      </c>
      <c r="G35" s="71" t="n">
        <f aca="false">SUMIF(Data_Anomalies!$D$2:$D$81,A35,Data_Anomalies!$I$2:$I$81)</f>
        <v>292443.52</v>
      </c>
      <c r="H35" s="69" t="str">
        <f aca="false">IF(F35&gt;=Parameters!$B$3,"HIGH",IF(F35&gt;=Parameters!$B$4,"ELEVATED","LOW"))</f>
        <v>LOW</v>
      </c>
      <c r="I35" s="74" t="n">
        <f aca="false">SUMIF($B$2:$B$51,"&gt;="&amp;B35)/SUM($B$2:$B$51)</f>
        <v>0.70154727789631</v>
      </c>
      <c r="J35" s="71" t="n">
        <f aca="false">SUMIFS(Data_Anomalies!$I$2:$I$81,Data_Anomalies!$D$2:$D$81,$A35,Data_Anomalies!$C$2:$C$81,J$1)</f>
        <v>0</v>
      </c>
      <c r="K35" s="71" t="n">
        <f aca="false">SUMIFS(Data_Anomalies!$I$2:$I$81,Data_Anomalies!$D$2:$D$81,$A35,Data_Anomalies!$C$2:$C$81,K$1)</f>
        <v>0</v>
      </c>
      <c r="L35" s="71" t="n">
        <f aca="false">SUMIFS(Data_Anomalies!$I$2:$I$81,Data_Anomalies!$D$2:$D$81,$A35,Data_Anomalies!$C$2:$C$81,L$1)</f>
        <v>0</v>
      </c>
      <c r="M35" s="71" t="n">
        <f aca="false">SUMIFS(Data_Anomalies!$I$2:$I$81,Data_Anomalies!$D$2:$D$81,$A35,Data_Anomalies!$C$2:$C$81,M$1)</f>
        <v>292443.52</v>
      </c>
      <c r="N35" s="71" t="n">
        <f aca="false">SUMIFS(Data_Anomalies!$I$2:$I$81,Data_Anomalies!$D$2:$D$81,$A35,Data_Anomalies!$C$2:$C$81,N$1)</f>
        <v>0</v>
      </c>
      <c r="O35" s="71" t="n">
        <f aca="false">SUMIFS(Data_Anomalies!$I$2:$I$81,Data_Anomalies!$D$2:$D$81,$A35,Data_Anomalies!$C$2:$C$81,O$1)</f>
        <v>0</v>
      </c>
      <c r="P35" s="69" t="str">
        <f aca="false">IF(G35=0,"—",INDEX($J$1:$O$1,MATCH(MAX(J35:O35),J35:O35,0)))</f>
        <v>Logistics</v>
      </c>
    </row>
    <row r="36" customFormat="false" ht="15" hidden="false" customHeight="false" outlineLevel="0" collapsed="false">
      <c r="A36" s="69" t="s">
        <v>292</v>
      </c>
      <c r="B36" s="71" t="n">
        <v>119321338</v>
      </c>
      <c r="C36" s="71" t="n">
        <v>2022</v>
      </c>
      <c r="D36" s="71" t="n">
        <f aca="false">B36/C36</f>
        <v>59011.5420375866</v>
      </c>
      <c r="E36" s="73" t="n">
        <f aca="false">B36/SUM($B$2:$B$51)</f>
        <v>0.0189531628175227</v>
      </c>
      <c r="F36" s="71" t="n">
        <f aca="false">COUNTIF(Data_Anomalies!$D$2:$D$81,A36)</f>
        <v>0</v>
      </c>
      <c r="G36" s="71" t="n">
        <f aca="false">SUMIF(Data_Anomalies!$D$2:$D$81,A36,Data_Anomalies!$I$2:$I$81)</f>
        <v>0</v>
      </c>
      <c r="H36" s="69" t="str">
        <f aca="false">IF(F36&gt;=Parameters!$B$3,"HIGH",IF(F36&gt;=Parameters!$B$4,"ELEVATED","LOW"))</f>
        <v>LOW</v>
      </c>
      <c r="I36" s="74" t="n">
        <f aca="false">SUMIF($B$2:$B$51,"&gt;="&amp;B36)/SUM($B$2:$B$51)</f>
        <v>0.720500440713833</v>
      </c>
      <c r="J36" s="71" t="n">
        <f aca="false">SUMIFS(Data_Anomalies!$I$2:$I$81,Data_Anomalies!$D$2:$D$81,$A36,Data_Anomalies!$C$2:$C$81,J$1)</f>
        <v>0</v>
      </c>
      <c r="K36" s="71" t="n">
        <f aca="false">SUMIFS(Data_Anomalies!$I$2:$I$81,Data_Anomalies!$D$2:$D$81,$A36,Data_Anomalies!$C$2:$C$81,K$1)</f>
        <v>0</v>
      </c>
      <c r="L36" s="71" t="n">
        <f aca="false">SUMIFS(Data_Anomalies!$I$2:$I$81,Data_Anomalies!$D$2:$D$81,$A36,Data_Anomalies!$C$2:$C$81,L$1)</f>
        <v>0</v>
      </c>
      <c r="M36" s="71" t="n">
        <f aca="false">SUMIFS(Data_Anomalies!$I$2:$I$81,Data_Anomalies!$D$2:$D$81,$A36,Data_Anomalies!$C$2:$C$81,M$1)</f>
        <v>0</v>
      </c>
      <c r="N36" s="71" t="n">
        <f aca="false">SUMIFS(Data_Anomalies!$I$2:$I$81,Data_Anomalies!$D$2:$D$81,$A36,Data_Anomalies!$C$2:$C$81,N$1)</f>
        <v>0</v>
      </c>
      <c r="O36" s="71" t="n">
        <f aca="false">SUMIFS(Data_Anomalies!$I$2:$I$81,Data_Anomalies!$D$2:$D$81,$A36,Data_Anomalies!$C$2:$C$81,O$1)</f>
        <v>0</v>
      </c>
      <c r="P36" s="69" t="str">
        <f aca="false">IF(G36=0,"—",INDEX($J$1:$O$1,MATCH(MAX(J36:O36),J36:O36,0)))</f>
        <v>—</v>
      </c>
    </row>
    <row r="37" customFormat="false" ht="15" hidden="false" customHeight="false" outlineLevel="0" collapsed="false">
      <c r="A37" s="69" t="s">
        <v>252</v>
      </c>
      <c r="B37" s="71" t="n">
        <v>119156191</v>
      </c>
      <c r="C37" s="71" t="n">
        <v>1994</v>
      </c>
      <c r="D37" s="71" t="n">
        <f aca="false">B37/C37</f>
        <v>59757.3676028084</v>
      </c>
      <c r="E37" s="73" t="n">
        <f aca="false">B37/SUM($B$2:$B$51)</f>
        <v>0.0189269306445326</v>
      </c>
      <c r="F37" s="71" t="n">
        <f aca="false">COUNTIF(Data_Anomalies!$D$2:$D$81,A37)</f>
        <v>1</v>
      </c>
      <c r="G37" s="71" t="n">
        <f aca="false">SUMIF(Data_Anomalies!$D$2:$D$81,A37,Data_Anomalies!$I$2:$I$81)</f>
        <v>63866.4</v>
      </c>
      <c r="H37" s="69" t="str">
        <f aca="false">IF(F37&gt;=Parameters!$B$3,"HIGH",IF(F37&gt;=Parameters!$B$4,"ELEVATED","LOW"))</f>
        <v>LOW</v>
      </c>
      <c r="I37" s="74" t="n">
        <f aca="false">SUMIF($B$2:$B$51,"&gt;="&amp;B37)/SUM($B$2:$B$51)</f>
        <v>0.739427371358366</v>
      </c>
      <c r="J37" s="71" t="n">
        <f aca="false">SUMIFS(Data_Anomalies!$I$2:$I$81,Data_Anomalies!$D$2:$D$81,$A37,Data_Anomalies!$C$2:$C$81,J$1)</f>
        <v>0</v>
      </c>
      <c r="K37" s="71" t="n">
        <f aca="false">SUMIFS(Data_Anomalies!$I$2:$I$81,Data_Anomalies!$D$2:$D$81,$A37,Data_Anomalies!$C$2:$C$81,K$1)</f>
        <v>0</v>
      </c>
      <c r="L37" s="71" t="n">
        <f aca="false">SUMIFS(Data_Anomalies!$I$2:$I$81,Data_Anomalies!$D$2:$D$81,$A37,Data_Anomalies!$C$2:$C$81,L$1)</f>
        <v>0</v>
      </c>
      <c r="M37" s="71" t="n">
        <f aca="false">SUMIFS(Data_Anomalies!$I$2:$I$81,Data_Anomalies!$D$2:$D$81,$A37,Data_Anomalies!$C$2:$C$81,M$1)</f>
        <v>0</v>
      </c>
      <c r="N37" s="71" t="n">
        <f aca="false">SUMIFS(Data_Anomalies!$I$2:$I$81,Data_Anomalies!$D$2:$D$81,$A37,Data_Anomalies!$C$2:$C$81,N$1)</f>
        <v>63866.4</v>
      </c>
      <c r="O37" s="71" t="n">
        <f aca="false">SUMIFS(Data_Anomalies!$I$2:$I$81,Data_Anomalies!$D$2:$D$81,$A37,Data_Anomalies!$C$2:$C$81,O$1)</f>
        <v>0</v>
      </c>
      <c r="P37" s="69" t="str">
        <f aca="false">IF(G37=0,"—",INDEX($J$1:$O$1,MATCH(MAX(J37:O37),J37:O37,0)))</f>
        <v>Raw Materials</v>
      </c>
    </row>
    <row r="38" customFormat="false" ht="15" hidden="false" customHeight="false" outlineLevel="0" collapsed="false">
      <c r="A38" s="69" t="s">
        <v>250</v>
      </c>
      <c r="B38" s="71" t="n">
        <v>119105694</v>
      </c>
      <c r="C38" s="71" t="n">
        <v>1968</v>
      </c>
      <c r="D38" s="71" t="n">
        <f aca="false">B38/C38</f>
        <v>60521.1859756098</v>
      </c>
      <c r="E38" s="73" t="n">
        <f aca="false">B38/SUM($B$2:$B$51)</f>
        <v>0.01891890963271</v>
      </c>
      <c r="F38" s="71" t="n">
        <f aca="false">COUNTIF(Data_Anomalies!$D$2:$D$81,A38)</f>
        <v>1</v>
      </c>
      <c r="G38" s="71" t="n">
        <f aca="false">SUMIF(Data_Anomalies!$D$2:$D$81,A38,Data_Anomalies!$I$2:$I$81)</f>
        <v>65568</v>
      </c>
      <c r="H38" s="69" t="str">
        <f aca="false">IF(F38&gt;=Parameters!$B$3,"HIGH",IF(F38&gt;=Parameters!$B$4,"ELEVATED","LOW"))</f>
        <v>LOW</v>
      </c>
      <c r="I38" s="74" t="n">
        <f aca="false">SUMIF($B$2:$B$51,"&gt;="&amp;B38)/SUM($B$2:$B$51)</f>
        <v>0.758346280991076</v>
      </c>
      <c r="J38" s="71" t="n">
        <f aca="false">SUMIFS(Data_Anomalies!$I$2:$I$81,Data_Anomalies!$D$2:$D$81,$A38,Data_Anomalies!$C$2:$C$81,J$1)</f>
        <v>0</v>
      </c>
      <c r="K38" s="71" t="n">
        <f aca="false">SUMIFS(Data_Anomalies!$I$2:$I$81,Data_Anomalies!$D$2:$D$81,$A38,Data_Anomalies!$C$2:$C$81,K$1)</f>
        <v>0</v>
      </c>
      <c r="L38" s="71" t="n">
        <f aca="false">SUMIFS(Data_Anomalies!$I$2:$I$81,Data_Anomalies!$D$2:$D$81,$A38,Data_Anomalies!$C$2:$C$81,L$1)</f>
        <v>0</v>
      </c>
      <c r="M38" s="71" t="n">
        <f aca="false">SUMIFS(Data_Anomalies!$I$2:$I$81,Data_Anomalies!$D$2:$D$81,$A38,Data_Anomalies!$C$2:$C$81,M$1)</f>
        <v>0</v>
      </c>
      <c r="N38" s="71" t="n">
        <f aca="false">SUMIFS(Data_Anomalies!$I$2:$I$81,Data_Anomalies!$D$2:$D$81,$A38,Data_Anomalies!$C$2:$C$81,N$1)</f>
        <v>0</v>
      </c>
      <c r="O38" s="71" t="n">
        <f aca="false">SUMIFS(Data_Anomalies!$I$2:$I$81,Data_Anomalies!$D$2:$D$81,$A38,Data_Anomalies!$C$2:$C$81,O$1)</f>
        <v>65568</v>
      </c>
      <c r="P38" s="69" t="str">
        <f aca="false">IF(G38=0,"—",INDEX($J$1:$O$1,MATCH(MAX(J38:O38),J38:O38,0)))</f>
        <v>Office Supplies</v>
      </c>
    </row>
    <row r="39" customFormat="false" ht="15" hidden="false" customHeight="false" outlineLevel="0" collapsed="false">
      <c r="A39" s="69" t="s">
        <v>269</v>
      </c>
      <c r="B39" s="71" t="n">
        <v>118803216</v>
      </c>
      <c r="C39" s="71" t="n">
        <v>1970</v>
      </c>
      <c r="D39" s="71" t="n">
        <f aca="false">B39/C39</f>
        <v>60306.2010152284</v>
      </c>
      <c r="E39" s="73" t="n">
        <f aca="false">B39/SUM($B$2:$B$51)</f>
        <v>0.018870863617816</v>
      </c>
      <c r="F39" s="71" t="n">
        <f aca="false">COUNTIF(Data_Anomalies!$D$2:$D$81,A39)</f>
        <v>1</v>
      </c>
      <c r="G39" s="71" t="n">
        <f aca="false">SUMIF(Data_Anomalies!$D$2:$D$81,A39,Data_Anomalies!$I$2:$I$81)</f>
        <v>13460.28</v>
      </c>
      <c r="H39" s="69" t="str">
        <f aca="false">IF(F39&gt;=Parameters!$B$3,"HIGH",IF(F39&gt;=Parameters!$B$4,"ELEVATED","LOW"))</f>
        <v>LOW</v>
      </c>
      <c r="I39" s="74" t="n">
        <f aca="false">SUMIF($B$2:$B$51,"&gt;="&amp;B39)/SUM($B$2:$B$51)</f>
        <v>0.777217144608892</v>
      </c>
      <c r="J39" s="71" t="n">
        <f aca="false">SUMIFS(Data_Anomalies!$I$2:$I$81,Data_Anomalies!$D$2:$D$81,$A39,Data_Anomalies!$C$2:$C$81,J$1)</f>
        <v>0</v>
      </c>
      <c r="K39" s="71" t="n">
        <f aca="false">SUMIFS(Data_Anomalies!$I$2:$I$81,Data_Anomalies!$D$2:$D$81,$A39,Data_Anomalies!$C$2:$C$81,K$1)</f>
        <v>0</v>
      </c>
      <c r="L39" s="71" t="n">
        <f aca="false">SUMIFS(Data_Anomalies!$I$2:$I$81,Data_Anomalies!$D$2:$D$81,$A39,Data_Anomalies!$C$2:$C$81,L$1)</f>
        <v>0</v>
      </c>
      <c r="M39" s="71" t="n">
        <f aca="false">SUMIFS(Data_Anomalies!$I$2:$I$81,Data_Anomalies!$D$2:$D$81,$A39,Data_Anomalies!$C$2:$C$81,M$1)</f>
        <v>0</v>
      </c>
      <c r="N39" s="71" t="n">
        <f aca="false">SUMIFS(Data_Anomalies!$I$2:$I$81,Data_Anomalies!$D$2:$D$81,$A39,Data_Anomalies!$C$2:$C$81,N$1)</f>
        <v>13460.28</v>
      </c>
      <c r="O39" s="71" t="n">
        <f aca="false">SUMIFS(Data_Anomalies!$I$2:$I$81,Data_Anomalies!$D$2:$D$81,$A39,Data_Anomalies!$C$2:$C$81,O$1)</f>
        <v>0</v>
      </c>
      <c r="P39" s="69" t="str">
        <f aca="false">IF(G39=0,"—",INDEX($J$1:$O$1,MATCH(MAX(J39:O39),J39:O39,0)))</f>
        <v>Raw Materials</v>
      </c>
    </row>
    <row r="40" customFormat="false" ht="15" hidden="false" customHeight="false" outlineLevel="0" collapsed="false">
      <c r="A40" s="69" t="s">
        <v>293</v>
      </c>
      <c r="B40" s="71" t="n">
        <v>118564020</v>
      </c>
      <c r="C40" s="71" t="n">
        <v>1956</v>
      </c>
      <c r="D40" s="71" t="n">
        <f aca="false">B40/C40</f>
        <v>60615.5521472393</v>
      </c>
      <c r="E40" s="73" t="n">
        <f aca="false">B40/SUM($B$2:$B$51)</f>
        <v>0.0188328694014479</v>
      </c>
      <c r="F40" s="71" t="n">
        <f aca="false">COUNTIF(Data_Anomalies!$D$2:$D$81,A40)</f>
        <v>0</v>
      </c>
      <c r="G40" s="71" t="n">
        <f aca="false">SUMIF(Data_Anomalies!$D$2:$D$81,A40,Data_Anomalies!$I$2:$I$81)</f>
        <v>0</v>
      </c>
      <c r="H40" s="69" t="str">
        <f aca="false">IF(F40&gt;=Parameters!$B$3,"HIGH",IF(F40&gt;=Parameters!$B$4,"ELEVATED","LOW"))</f>
        <v>LOW</v>
      </c>
      <c r="I40" s="74" t="n">
        <f aca="false">SUMIF($B$2:$B$51,"&gt;="&amp;B40)/SUM($B$2:$B$51)</f>
        <v>0.79605001401034</v>
      </c>
      <c r="J40" s="71" t="n">
        <f aca="false">SUMIFS(Data_Anomalies!$I$2:$I$81,Data_Anomalies!$D$2:$D$81,$A40,Data_Anomalies!$C$2:$C$81,J$1)</f>
        <v>0</v>
      </c>
      <c r="K40" s="71" t="n">
        <f aca="false">SUMIFS(Data_Anomalies!$I$2:$I$81,Data_Anomalies!$D$2:$D$81,$A40,Data_Anomalies!$C$2:$C$81,K$1)</f>
        <v>0</v>
      </c>
      <c r="L40" s="71" t="n">
        <f aca="false">SUMIFS(Data_Anomalies!$I$2:$I$81,Data_Anomalies!$D$2:$D$81,$A40,Data_Anomalies!$C$2:$C$81,L$1)</f>
        <v>0</v>
      </c>
      <c r="M40" s="71" t="n">
        <f aca="false">SUMIFS(Data_Anomalies!$I$2:$I$81,Data_Anomalies!$D$2:$D$81,$A40,Data_Anomalies!$C$2:$C$81,M$1)</f>
        <v>0</v>
      </c>
      <c r="N40" s="71" t="n">
        <f aca="false">SUMIFS(Data_Anomalies!$I$2:$I$81,Data_Anomalies!$D$2:$D$81,$A40,Data_Anomalies!$C$2:$C$81,N$1)</f>
        <v>0</v>
      </c>
      <c r="O40" s="71" t="n">
        <f aca="false">SUMIFS(Data_Anomalies!$I$2:$I$81,Data_Anomalies!$D$2:$D$81,$A40,Data_Anomalies!$C$2:$C$81,O$1)</f>
        <v>0</v>
      </c>
      <c r="P40" s="69" t="str">
        <f aca="false">IF(G40=0,"—",INDEX($J$1:$O$1,MATCH(MAX(J40:O40),J40:O40,0)))</f>
        <v>—</v>
      </c>
    </row>
    <row r="41" customFormat="false" ht="15" hidden="false" customHeight="false" outlineLevel="0" collapsed="false">
      <c r="A41" s="69" t="s">
        <v>191</v>
      </c>
      <c r="B41" s="71" t="n">
        <v>117909852</v>
      </c>
      <c r="C41" s="71" t="n">
        <v>1966</v>
      </c>
      <c r="D41" s="71" t="n">
        <f aca="false">B41/C41</f>
        <v>59974.492370295</v>
      </c>
      <c r="E41" s="73" t="n">
        <f aca="false">B41/SUM($B$2:$B$51)</f>
        <v>0.0187289604709764</v>
      </c>
      <c r="F41" s="71" t="n">
        <f aca="false">COUNTIF(Data_Anomalies!$D$2:$D$81,A41)</f>
        <v>2</v>
      </c>
      <c r="G41" s="71" t="n">
        <f aca="false">SUMIF(Data_Anomalies!$D$2:$D$81,A41,Data_Anomalies!$I$2:$I$81)</f>
        <v>2025155.72</v>
      </c>
      <c r="H41" s="69" t="str">
        <f aca="false">IF(F41&gt;=Parameters!$B$3,"HIGH",IF(F41&gt;=Parameters!$B$4,"ELEVATED","LOW"))</f>
        <v>ELEVATED</v>
      </c>
      <c r="I41" s="74" t="n">
        <f aca="false">SUMIF($B$2:$B$51,"&gt;="&amp;B41)/SUM($B$2:$B$51)</f>
        <v>0.814778974481316</v>
      </c>
      <c r="J41" s="71" t="n">
        <f aca="false">SUMIFS(Data_Anomalies!$I$2:$I$81,Data_Anomalies!$D$2:$D$81,$A41,Data_Anomalies!$C$2:$C$81,J$1)</f>
        <v>0</v>
      </c>
      <c r="K41" s="71" t="n">
        <f aca="false">SUMIFS(Data_Anomalies!$I$2:$I$81,Data_Anomalies!$D$2:$D$81,$A41,Data_Anomalies!$C$2:$C$81,K$1)</f>
        <v>0</v>
      </c>
      <c r="L41" s="71" t="n">
        <f aca="false">SUMIFS(Data_Anomalies!$I$2:$I$81,Data_Anomalies!$D$2:$D$81,$A41,Data_Anomalies!$C$2:$C$81,L$1)</f>
        <v>0</v>
      </c>
      <c r="M41" s="71" t="n">
        <f aca="false">SUMIFS(Data_Anomalies!$I$2:$I$81,Data_Anomalies!$D$2:$D$81,$A41,Data_Anomalies!$C$2:$C$81,M$1)</f>
        <v>2002320</v>
      </c>
      <c r="N41" s="71" t="n">
        <f aca="false">SUMIFS(Data_Anomalies!$I$2:$I$81,Data_Anomalies!$D$2:$D$81,$A41,Data_Anomalies!$C$2:$C$81,N$1)</f>
        <v>0</v>
      </c>
      <c r="O41" s="71" t="n">
        <f aca="false">SUMIFS(Data_Anomalies!$I$2:$I$81,Data_Anomalies!$D$2:$D$81,$A41,Data_Anomalies!$C$2:$C$81,O$1)</f>
        <v>22835.72</v>
      </c>
      <c r="P41" s="69" t="str">
        <f aca="false">IF(G41=0,"—",INDEX($J$1:$O$1,MATCH(MAX(J41:O41),J41:O41,0)))</f>
        <v>Logistics</v>
      </c>
    </row>
    <row r="42" customFormat="false" ht="15" hidden="false" customHeight="false" outlineLevel="0" collapsed="false">
      <c r="A42" s="69" t="s">
        <v>193</v>
      </c>
      <c r="B42" s="71" t="n">
        <v>117532031</v>
      </c>
      <c r="C42" s="71" t="n">
        <v>1924</v>
      </c>
      <c r="D42" s="71" t="n">
        <f aca="false">B42/C42</f>
        <v>61087.3341995842</v>
      </c>
      <c r="E42" s="73" t="n">
        <f aca="false">B42/SUM($B$2:$B$51)</f>
        <v>0.0186689468719931</v>
      </c>
      <c r="F42" s="71" t="n">
        <f aca="false">COUNTIF(Data_Anomalies!$D$2:$D$81,A42)</f>
        <v>3</v>
      </c>
      <c r="G42" s="71" t="n">
        <f aca="false">SUMIF(Data_Anomalies!$D$2:$D$81,A42,Data_Anomalies!$I$2:$I$81)</f>
        <v>3562208.16</v>
      </c>
      <c r="H42" s="69" t="str">
        <f aca="false">IF(F42&gt;=Parameters!$B$3,"HIGH",IF(F42&gt;=Parameters!$B$4,"ELEVATED","LOW"))</f>
        <v>ELEVATED</v>
      </c>
      <c r="I42" s="74" t="n">
        <f aca="false">SUMIF($B$2:$B$51,"&gt;="&amp;B42)/SUM($B$2:$B$51)</f>
        <v>0.833447921353309</v>
      </c>
      <c r="J42" s="71" t="n">
        <f aca="false">SUMIFS(Data_Anomalies!$I$2:$I$81,Data_Anomalies!$D$2:$D$81,$A42,Data_Anomalies!$C$2:$C$81,J$1)</f>
        <v>2883432.16</v>
      </c>
      <c r="K42" s="71" t="n">
        <f aca="false">SUMIFS(Data_Anomalies!$I$2:$I$81,Data_Anomalies!$D$2:$D$81,$A42,Data_Anomalies!$C$2:$C$81,K$1)</f>
        <v>0</v>
      </c>
      <c r="L42" s="71" t="n">
        <f aca="false">SUMIFS(Data_Anomalies!$I$2:$I$81,Data_Anomalies!$D$2:$D$81,$A42,Data_Anomalies!$C$2:$C$81,L$1)</f>
        <v>0</v>
      </c>
      <c r="M42" s="71" t="n">
        <f aca="false">SUMIFS(Data_Anomalies!$I$2:$I$81,Data_Anomalies!$D$2:$D$81,$A42,Data_Anomalies!$C$2:$C$81,M$1)</f>
        <v>0</v>
      </c>
      <c r="N42" s="71" t="n">
        <f aca="false">SUMIFS(Data_Anomalies!$I$2:$I$81,Data_Anomalies!$D$2:$D$81,$A42,Data_Anomalies!$C$2:$C$81,N$1)</f>
        <v>678776</v>
      </c>
      <c r="O42" s="71" t="n">
        <f aca="false">SUMIFS(Data_Anomalies!$I$2:$I$81,Data_Anomalies!$D$2:$D$81,$A42,Data_Anomalies!$C$2:$C$81,O$1)</f>
        <v>0</v>
      </c>
      <c r="P42" s="69" t="str">
        <f aca="false">IF(G42=0,"—",INDEX($J$1:$O$1,MATCH(MAX(J42:O42),J42:O42,0)))</f>
        <v>IT Hardware</v>
      </c>
    </row>
    <row r="43" customFormat="false" ht="15" hidden="false" customHeight="false" outlineLevel="0" collapsed="false">
      <c r="A43" s="69" t="s">
        <v>197</v>
      </c>
      <c r="B43" s="71" t="n">
        <v>117526961</v>
      </c>
      <c r="C43" s="71" t="n">
        <v>1964</v>
      </c>
      <c r="D43" s="71" t="n">
        <f aca="false">B43/C43</f>
        <v>59840.6115071283</v>
      </c>
      <c r="E43" s="73" t="n">
        <f aca="false">B43/SUM($B$2:$B$51)</f>
        <v>0.0186681415463313</v>
      </c>
      <c r="F43" s="71" t="n">
        <f aca="false">COUNTIF(Data_Anomalies!$D$2:$D$81,A43)</f>
        <v>1</v>
      </c>
      <c r="G43" s="71" t="n">
        <f aca="false">SUMIF(Data_Anomalies!$D$2:$D$81,A43,Data_Anomalies!$I$2:$I$81)</f>
        <v>1376775.5</v>
      </c>
      <c r="H43" s="69" t="str">
        <f aca="false">IF(F43&gt;=Parameters!$B$3,"HIGH",IF(F43&gt;=Parameters!$B$4,"ELEVATED","LOW"))</f>
        <v>LOW</v>
      </c>
      <c r="I43" s="74" t="n">
        <f aca="false">SUMIF($B$2:$B$51,"&gt;="&amp;B43)/SUM($B$2:$B$51)</f>
        <v>0.85211606289964</v>
      </c>
      <c r="J43" s="71" t="n">
        <f aca="false">SUMIFS(Data_Anomalies!$I$2:$I$81,Data_Anomalies!$D$2:$D$81,$A43,Data_Anomalies!$C$2:$C$81,J$1)</f>
        <v>1376775.5</v>
      </c>
      <c r="K43" s="71" t="n">
        <f aca="false">SUMIFS(Data_Anomalies!$I$2:$I$81,Data_Anomalies!$D$2:$D$81,$A43,Data_Anomalies!$C$2:$C$81,K$1)</f>
        <v>0</v>
      </c>
      <c r="L43" s="71" t="n">
        <f aca="false">SUMIFS(Data_Anomalies!$I$2:$I$81,Data_Anomalies!$D$2:$D$81,$A43,Data_Anomalies!$C$2:$C$81,L$1)</f>
        <v>0</v>
      </c>
      <c r="M43" s="71" t="n">
        <f aca="false">SUMIFS(Data_Anomalies!$I$2:$I$81,Data_Anomalies!$D$2:$D$81,$A43,Data_Anomalies!$C$2:$C$81,M$1)</f>
        <v>0</v>
      </c>
      <c r="N43" s="71" t="n">
        <f aca="false">SUMIFS(Data_Anomalies!$I$2:$I$81,Data_Anomalies!$D$2:$D$81,$A43,Data_Anomalies!$C$2:$C$81,N$1)</f>
        <v>0</v>
      </c>
      <c r="O43" s="71" t="n">
        <f aca="false">SUMIFS(Data_Anomalies!$I$2:$I$81,Data_Anomalies!$D$2:$D$81,$A43,Data_Anomalies!$C$2:$C$81,O$1)</f>
        <v>0</v>
      </c>
      <c r="P43" s="69" t="str">
        <f aca="false">IF(G43=0,"—",INDEX($J$1:$O$1,MATCH(MAX(J43:O43),J43:O43,0)))</f>
        <v>IT Hardware</v>
      </c>
    </row>
    <row r="44" customFormat="false" ht="15" hidden="false" customHeight="false" outlineLevel="0" collapsed="false">
      <c r="A44" s="69" t="s">
        <v>199</v>
      </c>
      <c r="B44" s="71" t="n">
        <v>117435041</v>
      </c>
      <c r="C44" s="71" t="n">
        <v>2087</v>
      </c>
      <c r="D44" s="71" t="n">
        <f aca="false">B44/C44</f>
        <v>56269.7848586488</v>
      </c>
      <c r="E44" s="73" t="n">
        <f aca="false">B44/SUM($B$2:$B$51)</f>
        <v>0.0186535408491267</v>
      </c>
      <c r="F44" s="71" t="n">
        <f aca="false">COUNTIF(Data_Anomalies!$D$2:$D$81,A44)</f>
        <v>2</v>
      </c>
      <c r="G44" s="71" t="n">
        <f aca="false">SUMIF(Data_Anomalies!$D$2:$D$81,A44,Data_Anomalies!$I$2:$I$81)</f>
        <v>1361441.12</v>
      </c>
      <c r="H44" s="69" t="str">
        <f aca="false">IF(F44&gt;=Parameters!$B$3,"HIGH",IF(F44&gt;=Parameters!$B$4,"ELEVATED","LOW"))</f>
        <v>ELEVATED</v>
      </c>
      <c r="I44" s="74" t="n">
        <f aca="false">SUMIF($B$2:$B$51,"&gt;="&amp;B44)/SUM($B$2:$B$51)</f>
        <v>0.870769603748767</v>
      </c>
      <c r="J44" s="71" t="n">
        <f aca="false">SUMIFS(Data_Anomalies!$I$2:$I$81,Data_Anomalies!$D$2:$D$81,$A44,Data_Anomalies!$C$2:$C$81,J$1)</f>
        <v>0</v>
      </c>
      <c r="K44" s="71" t="n">
        <f aca="false">SUMIFS(Data_Anomalies!$I$2:$I$81,Data_Anomalies!$D$2:$D$81,$A44,Data_Anomalies!$C$2:$C$81,K$1)</f>
        <v>1325851.52</v>
      </c>
      <c r="L44" s="71" t="n">
        <f aca="false">SUMIFS(Data_Anomalies!$I$2:$I$81,Data_Anomalies!$D$2:$D$81,$A44,Data_Anomalies!$C$2:$C$81,L$1)</f>
        <v>0</v>
      </c>
      <c r="M44" s="71" t="n">
        <f aca="false">SUMIFS(Data_Anomalies!$I$2:$I$81,Data_Anomalies!$D$2:$D$81,$A44,Data_Anomalies!$C$2:$C$81,M$1)</f>
        <v>0</v>
      </c>
      <c r="N44" s="71" t="n">
        <f aca="false">SUMIFS(Data_Anomalies!$I$2:$I$81,Data_Anomalies!$D$2:$D$81,$A44,Data_Anomalies!$C$2:$C$81,N$1)</f>
        <v>0</v>
      </c>
      <c r="O44" s="71" t="n">
        <f aca="false">SUMIFS(Data_Anomalies!$I$2:$I$81,Data_Anomalies!$D$2:$D$81,$A44,Data_Anomalies!$C$2:$C$81,O$1)</f>
        <v>35589.6</v>
      </c>
      <c r="P44" s="69" t="str">
        <f aca="false">IF(G44=0,"—",INDEX($J$1:$O$1,MATCH(MAX(J44:O44),J44:O44,0)))</f>
        <v>Marketing Services</v>
      </c>
    </row>
    <row r="45" customFormat="false" ht="15" hidden="false" customHeight="false" outlineLevel="0" collapsed="false">
      <c r="A45" s="69" t="s">
        <v>294</v>
      </c>
      <c r="B45" s="71" t="n">
        <v>117297071</v>
      </c>
      <c r="C45" s="71" t="n">
        <v>1950</v>
      </c>
      <c r="D45" s="71" t="n">
        <f aca="false">B45/C45</f>
        <v>60152.3441025641</v>
      </c>
      <c r="E45" s="73" t="n">
        <f aca="false">B45/SUM($B$2:$B$51)</f>
        <v>0.018631625507598</v>
      </c>
      <c r="F45" s="71" t="n">
        <f aca="false">COUNTIF(Data_Anomalies!$D$2:$D$81,A45)</f>
        <v>0</v>
      </c>
      <c r="G45" s="71" t="n">
        <f aca="false">SUMIF(Data_Anomalies!$D$2:$D$81,A45,Data_Anomalies!$I$2:$I$81)</f>
        <v>0</v>
      </c>
      <c r="H45" s="69" t="str">
        <f aca="false">IF(F45&gt;=Parameters!$B$3,"HIGH",IF(F45&gt;=Parameters!$B$4,"ELEVATED","LOW"))</f>
        <v>LOW</v>
      </c>
      <c r="I45" s="74" t="n">
        <f aca="false">SUMIF($B$2:$B$51,"&gt;="&amp;B45)/SUM($B$2:$B$51)</f>
        <v>0.889401229256365</v>
      </c>
      <c r="J45" s="71" t="n">
        <f aca="false">SUMIFS(Data_Anomalies!$I$2:$I$81,Data_Anomalies!$D$2:$D$81,$A45,Data_Anomalies!$C$2:$C$81,J$1)</f>
        <v>0</v>
      </c>
      <c r="K45" s="71" t="n">
        <f aca="false">SUMIFS(Data_Anomalies!$I$2:$I$81,Data_Anomalies!$D$2:$D$81,$A45,Data_Anomalies!$C$2:$C$81,K$1)</f>
        <v>0</v>
      </c>
      <c r="L45" s="71" t="n">
        <f aca="false">SUMIFS(Data_Anomalies!$I$2:$I$81,Data_Anomalies!$D$2:$D$81,$A45,Data_Anomalies!$C$2:$C$81,L$1)</f>
        <v>0</v>
      </c>
      <c r="M45" s="71" t="n">
        <f aca="false">SUMIFS(Data_Anomalies!$I$2:$I$81,Data_Anomalies!$D$2:$D$81,$A45,Data_Anomalies!$C$2:$C$81,M$1)</f>
        <v>0</v>
      </c>
      <c r="N45" s="71" t="n">
        <f aca="false">SUMIFS(Data_Anomalies!$I$2:$I$81,Data_Anomalies!$D$2:$D$81,$A45,Data_Anomalies!$C$2:$C$81,N$1)</f>
        <v>0</v>
      </c>
      <c r="O45" s="71" t="n">
        <f aca="false">SUMIFS(Data_Anomalies!$I$2:$I$81,Data_Anomalies!$D$2:$D$81,$A45,Data_Anomalies!$C$2:$C$81,O$1)</f>
        <v>0</v>
      </c>
      <c r="P45" s="69" t="str">
        <f aca="false">IF(G45=0,"—",INDEX($J$1:$O$1,MATCH(MAX(J45:O45),J45:O45,0)))</f>
        <v>—</v>
      </c>
    </row>
    <row r="46" customFormat="false" ht="15" hidden="false" customHeight="false" outlineLevel="0" collapsed="false">
      <c r="A46" s="69" t="s">
        <v>231</v>
      </c>
      <c r="B46" s="71" t="n">
        <v>116807058</v>
      </c>
      <c r="C46" s="71" t="n">
        <v>2031</v>
      </c>
      <c r="D46" s="71" t="n">
        <f aca="false">B46/C46</f>
        <v>57512.0915805022</v>
      </c>
      <c r="E46" s="73" t="n">
        <f aca="false">B46/SUM($B$2:$B$51)</f>
        <v>0.018553791179494</v>
      </c>
      <c r="F46" s="71" t="n">
        <f aca="false">COUNTIF(Data_Anomalies!$D$2:$D$81,A46)</f>
        <v>1</v>
      </c>
      <c r="G46" s="71" t="n">
        <f aca="false">SUMIF(Data_Anomalies!$D$2:$D$81,A46,Data_Anomalies!$I$2:$I$81)</f>
        <v>276828.82</v>
      </c>
      <c r="H46" s="69" t="str">
        <f aca="false">IF(F46&gt;=Parameters!$B$3,"HIGH",IF(F46&gt;=Parameters!$B$4,"ELEVATED","LOW"))</f>
        <v>LOW</v>
      </c>
      <c r="I46" s="74" t="n">
        <f aca="false">SUMIF($B$2:$B$51,"&gt;="&amp;B46)/SUM($B$2:$B$51)</f>
        <v>0.907955020435859</v>
      </c>
      <c r="J46" s="71" t="n">
        <f aca="false">SUMIFS(Data_Anomalies!$I$2:$I$81,Data_Anomalies!$D$2:$D$81,$A46,Data_Anomalies!$C$2:$C$81,J$1)</f>
        <v>0</v>
      </c>
      <c r="K46" s="71" t="n">
        <f aca="false">SUMIFS(Data_Anomalies!$I$2:$I$81,Data_Anomalies!$D$2:$D$81,$A46,Data_Anomalies!$C$2:$C$81,K$1)</f>
        <v>0</v>
      </c>
      <c r="L46" s="71" t="n">
        <f aca="false">SUMIFS(Data_Anomalies!$I$2:$I$81,Data_Anomalies!$D$2:$D$81,$A46,Data_Anomalies!$C$2:$C$81,L$1)</f>
        <v>0</v>
      </c>
      <c r="M46" s="71" t="n">
        <f aca="false">SUMIFS(Data_Anomalies!$I$2:$I$81,Data_Anomalies!$D$2:$D$81,$A46,Data_Anomalies!$C$2:$C$81,M$1)</f>
        <v>276828.82</v>
      </c>
      <c r="N46" s="71" t="n">
        <f aca="false">SUMIFS(Data_Anomalies!$I$2:$I$81,Data_Anomalies!$D$2:$D$81,$A46,Data_Anomalies!$C$2:$C$81,N$1)</f>
        <v>0</v>
      </c>
      <c r="O46" s="71" t="n">
        <f aca="false">SUMIFS(Data_Anomalies!$I$2:$I$81,Data_Anomalies!$D$2:$D$81,$A46,Data_Anomalies!$C$2:$C$81,O$1)</f>
        <v>0</v>
      </c>
      <c r="P46" s="69" t="str">
        <f aca="false">IF(G46=0,"—",INDEX($J$1:$O$1,MATCH(MAX(J46:O46),J46:O46,0)))</f>
        <v>Logistics</v>
      </c>
    </row>
    <row r="47" customFormat="false" ht="15" hidden="false" customHeight="false" outlineLevel="0" collapsed="false">
      <c r="A47" s="69" t="s">
        <v>175</v>
      </c>
      <c r="B47" s="71" t="n">
        <v>116772309</v>
      </c>
      <c r="C47" s="71" t="n">
        <v>2025</v>
      </c>
      <c r="D47" s="71" t="n">
        <f aca="false">B47/C47</f>
        <v>57665.3377777778</v>
      </c>
      <c r="E47" s="73" t="n">
        <f aca="false">B47/SUM($B$2:$B$51)</f>
        <v>0.0185482716013047</v>
      </c>
      <c r="F47" s="71" t="n">
        <f aca="false">COUNTIF(Data_Anomalies!$D$2:$D$81,A47)</f>
        <v>4</v>
      </c>
      <c r="G47" s="71" t="n">
        <f aca="false">SUMIF(Data_Anomalies!$D$2:$D$81,A47,Data_Anomalies!$I$2:$I$81)</f>
        <v>5433555.88</v>
      </c>
      <c r="H47" s="69" t="str">
        <f aca="false">IF(F47&gt;=Parameters!$B$3,"HIGH",IF(F47&gt;=Parameters!$B$4,"ELEVATED","LOW"))</f>
        <v>HIGH</v>
      </c>
      <c r="I47" s="74" t="n">
        <f aca="false">SUMIF($B$2:$B$51,"&gt;="&amp;B47)/SUM($B$2:$B$51)</f>
        <v>0.926503292037164</v>
      </c>
      <c r="J47" s="71" t="n">
        <f aca="false">SUMIFS(Data_Anomalies!$I$2:$I$81,Data_Anomalies!$D$2:$D$81,$A47,Data_Anomalies!$C$2:$C$81,J$1)</f>
        <v>0</v>
      </c>
      <c r="K47" s="71" t="n">
        <f aca="false">SUMIFS(Data_Anomalies!$I$2:$I$81,Data_Anomalies!$D$2:$D$81,$A47,Data_Anomalies!$C$2:$C$81,K$1)</f>
        <v>5354117.5</v>
      </c>
      <c r="L47" s="71" t="n">
        <f aca="false">SUMIFS(Data_Anomalies!$I$2:$I$81,Data_Anomalies!$D$2:$D$81,$A47,Data_Anomalies!$C$2:$C$81,L$1)</f>
        <v>0</v>
      </c>
      <c r="M47" s="71" t="n">
        <f aca="false">SUMIFS(Data_Anomalies!$I$2:$I$81,Data_Anomalies!$D$2:$D$81,$A47,Data_Anomalies!$C$2:$C$81,M$1)</f>
        <v>0</v>
      </c>
      <c r="N47" s="71" t="n">
        <f aca="false">SUMIFS(Data_Anomalies!$I$2:$I$81,Data_Anomalies!$D$2:$D$81,$A47,Data_Anomalies!$C$2:$C$81,N$1)</f>
        <v>27339.3</v>
      </c>
      <c r="O47" s="71" t="n">
        <f aca="false">SUMIFS(Data_Anomalies!$I$2:$I$81,Data_Anomalies!$D$2:$D$81,$A47,Data_Anomalies!$C$2:$C$81,O$1)</f>
        <v>52099.08</v>
      </c>
      <c r="P47" s="69" t="str">
        <f aca="false">IF(G47=0,"—",INDEX($J$1:$O$1,MATCH(MAX(J47:O47),J47:O47,0)))</f>
        <v>Marketing Services</v>
      </c>
    </row>
    <row r="48" customFormat="false" ht="15" hidden="false" customHeight="false" outlineLevel="0" collapsed="false">
      <c r="A48" s="69" t="s">
        <v>295</v>
      </c>
      <c r="B48" s="71" t="n">
        <v>116516117</v>
      </c>
      <c r="C48" s="71" t="n">
        <v>1981</v>
      </c>
      <c r="D48" s="71" t="n">
        <f aca="false">B48/C48</f>
        <v>58816.8182735992</v>
      </c>
      <c r="E48" s="73" t="n">
        <f aca="false">B48/SUM($B$2:$B$51)</f>
        <v>0.0185075777172942</v>
      </c>
      <c r="F48" s="71" t="n">
        <f aca="false">COUNTIF(Data_Anomalies!$D$2:$D$81,A48)</f>
        <v>0</v>
      </c>
      <c r="G48" s="71" t="n">
        <f aca="false">SUMIF(Data_Anomalies!$D$2:$D$81,A48,Data_Anomalies!$I$2:$I$81)</f>
        <v>0</v>
      </c>
      <c r="H48" s="69" t="str">
        <f aca="false">IF(F48&gt;=Parameters!$B$3,"HIGH",IF(F48&gt;=Parameters!$B$4,"ELEVATED","LOW"))</f>
        <v>LOW</v>
      </c>
      <c r="I48" s="74" t="n">
        <f aca="false">SUMIF($B$2:$B$51,"&gt;="&amp;B48)/SUM($B$2:$B$51)</f>
        <v>0.945010869754458</v>
      </c>
      <c r="J48" s="71" t="n">
        <f aca="false">SUMIFS(Data_Anomalies!$I$2:$I$81,Data_Anomalies!$D$2:$D$81,$A48,Data_Anomalies!$C$2:$C$81,J$1)</f>
        <v>0</v>
      </c>
      <c r="K48" s="71" t="n">
        <f aca="false">SUMIFS(Data_Anomalies!$I$2:$I$81,Data_Anomalies!$D$2:$D$81,$A48,Data_Anomalies!$C$2:$C$81,K$1)</f>
        <v>0</v>
      </c>
      <c r="L48" s="71" t="n">
        <f aca="false">SUMIFS(Data_Anomalies!$I$2:$I$81,Data_Anomalies!$D$2:$D$81,$A48,Data_Anomalies!$C$2:$C$81,L$1)</f>
        <v>0</v>
      </c>
      <c r="M48" s="71" t="n">
        <f aca="false">SUMIFS(Data_Anomalies!$I$2:$I$81,Data_Anomalies!$D$2:$D$81,$A48,Data_Anomalies!$C$2:$C$81,M$1)</f>
        <v>0</v>
      </c>
      <c r="N48" s="71" t="n">
        <f aca="false">SUMIFS(Data_Anomalies!$I$2:$I$81,Data_Anomalies!$D$2:$D$81,$A48,Data_Anomalies!$C$2:$C$81,N$1)</f>
        <v>0</v>
      </c>
      <c r="O48" s="71" t="n">
        <f aca="false">SUMIFS(Data_Anomalies!$I$2:$I$81,Data_Anomalies!$D$2:$D$81,$A48,Data_Anomalies!$C$2:$C$81,O$1)</f>
        <v>0</v>
      </c>
      <c r="P48" s="69" t="str">
        <f aca="false">IF(G48=0,"—",INDEX($J$1:$O$1,MATCH(MAX(J48:O48),J48:O48,0)))</f>
        <v>—</v>
      </c>
    </row>
    <row r="49" customFormat="false" ht="15" hidden="false" customHeight="false" outlineLevel="0" collapsed="false">
      <c r="A49" s="69" t="s">
        <v>240</v>
      </c>
      <c r="B49" s="71" t="n">
        <v>116501820</v>
      </c>
      <c r="C49" s="71" t="n">
        <v>1981</v>
      </c>
      <c r="D49" s="71" t="n">
        <f aca="false">B49/C49</f>
        <v>58809.6012115093</v>
      </c>
      <c r="E49" s="73" t="n">
        <f aca="false">B49/SUM($B$2:$B$51)</f>
        <v>0.0185053067624646</v>
      </c>
      <c r="F49" s="71" t="n">
        <f aca="false">COUNTIF(Data_Anomalies!$D$2:$D$81,A49)</f>
        <v>2</v>
      </c>
      <c r="G49" s="71" t="n">
        <f aca="false">SUMIF(Data_Anomalies!$D$2:$D$81,A49,Data_Anomalies!$I$2:$I$81)</f>
        <v>224839.68</v>
      </c>
      <c r="H49" s="69" t="str">
        <f aca="false">IF(F49&gt;=Parameters!$B$3,"HIGH",IF(F49&gt;=Parameters!$B$4,"ELEVATED","LOW"))</f>
        <v>ELEVATED</v>
      </c>
      <c r="I49" s="74" t="n">
        <f aca="false">SUMIF($B$2:$B$51,"&gt;="&amp;B49)/SUM($B$2:$B$51)</f>
        <v>0.963516176516923</v>
      </c>
      <c r="J49" s="71" t="n">
        <f aca="false">SUMIFS(Data_Anomalies!$I$2:$I$81,Data_Anomalies!$D$2:$D$81,$A49,Data_Anomalies!$C$2:$C$81,J$1)</f>
        <v>0</v>
      </c>
      <c r="K49" s="71" t="n">
        <f aca="false">SUMIFS(Data_Anomalies!$I$2:$I$81,Data_Anomalies!$D$2:$D$81,$A49,Data_Anomalies!$C$2:$C$81,K$1)</f>
        <v>0</v>
      </c>
      <c r="L49" s="71" t="n">
        <f aca="false">SUMIFS(Data_Anomalies!$I$2:$I$81,Data_Anomalies!$D$2:$D$81,$A49,Data_Anomalies!$C$2:$C$81,L$1)</f>
        <v>0</v>
      </c>
      <c r="M49" s="71" t="n">
        <f aca="false">SUMIFS(Data_Anomalies!$I$2:$I$81,Data_Anomalies!$D$2:$D$81,$A49,Data_Anomalies!$C$2:$C$81,M$1)</f>
        <v>224839.68</v>
      </c>
      <c r="N49" s="71" t="n">
        <f aca="false">SUMIFS(Data_Anomalies!$I$2:$I$81,Data_Anomalies!$D$2:$D$81,$A49,Data_Anomalies!$C$2:$C$81,N$1)</f>
        <v>0</v>
      </c>
      <c r="O49" s="71" t="n">
        <f aca="false">SUMIFS(Data_Anomalies!$I$2:$I$81,Data_Anomalies!$D$2:$D$81,$A49,Data_Anomalies!$C$2:$C$81,O$1)</f>
        <v>0</v>
      </c>
      <c r="P49" s="69" t="str">
        <f aca="false">IF(G49=0,"—",INDEX($J$1:$O$1,MATCH(MAX(J49:O49),J49:O49,0)))</f>
        <v>Logistics</v>
      </c>
    </row>
    <row r="50" customFormat="false" ht="15" hidden="false" customHeight="false" outlineLevel="0" collapsed="false">
      <c r="A50" s="69" t="s">
        <v>296</v>
      </c>
      <c r="B50" s="71" t="n">
        <v>115791723</v>
      </c>
      <c r="C50" s="71" t="n">
        <v>1921</v>
      </c>
      <c r="D50" s="71" t="n">
        <f aca="false">B50/C50</f>
        <v>60276.7948984904</v>
      </c>
      <c r="E50" s="73" t="n">
        <f aca="false">B50/SUM($B$2:$B$51)</f>
        <v>0.0183925139939387</v>
      </c>
      <c r="F50" s="71" t="n">
        <f aca="false">COUNTIF(Data_Anomalies!$D$2:$D$81,A50)</f>
        <v>0</v>
      </c>
      <c r="G50" s="71" t="n">
        <f aca="false">SUMIF(Data_Anomalies!$D$2:$D$81,A50,Data_Anomalies!$I$2:$I$81)</f>
        <v>0</v>
      </c>
      <c r="H50" s="69" t="str">
        <f aca="false">IF(F50&gt;=Parameters!$B$3,"HIGH",IF(F50&gt;=Parameters!$B$4,"ELEVATED","LOW"))</f>
        <v>LOW</v>
      </c>
      <c r="I50" s="74" t="n">
        <f aca="false">SUMIF($B$2:$B$51,"&gt;="&amp;B50)/SUM($B$2:$B$51)</f>
        <v>0.981908690510861</v>
      </c>
      <c r="J50" s="71" t="n">
        <f aca="false">SUMIFS(Data_Anomalies!$I$2:$I$81,Data_Anomalies!$D$2:$D$81,$A50,Data_Anomalies!$C$2:$C$81,J$1)</f>
        <v>0</v>
      </c>
      <c r="K50" s="71" t="n">
        <f aca="false">SUMIFS(Data_Anomalies!$I$2:$I$81,Data_Anomalies!$D$2:$D$81,$A50,Data_Anomalies!$C$2:$C$81,K$1)</f>
        <v>0</v>
      </c>
      <c r="L50" s="71" t="n">
        <f aca="false">SUMIFS(Data_Anomalies!$I$2:$I$81,Data_Anomalies!$D$2:$D$81,$A50,Data_Anomalies!$C$2:$C$81,L$1)</f>
        <v>0</v>
      </c>
      <c r="M50" s="71" t="n">
        <f aca="false">SUMIFS(Data_Anomalies!$I$2:$I$81,Data_Anomalies!$D$2:$D$81,$A50,Data_Anomalies!$C$2:$C$81,M$1)</f>
        <v>0</v>
      </c>
      <c r="N50" s="71" t="n">
        <f aca="false">SUMIFS(Data_Anomalies!$I$2:$I$81,Data_Anomalies!$D$2:$D$81,$A50,Data_Anomalies!$C$2:$C$81,N$1)</f>
        <v>0</v>
      </c>
      <c r="O50" s="71" t="n">
        <f aca="false">SUMIFS(Data_Anomalies!$I$2:$I$81,Data_Anomalies!$D$2:$D$81,$A50,Data_Anomalies!$C$2:$C$81,O$1)</f>
        <v>0</v>
      </c>
      <c r="P50" s="69" t="str">
        <f aca="false">IF(G50=0,"—",INDEX($J$1:$O$1,MATCH(MAX(J50:O50),J50:O50,0)))</f>
        <v>—</v>
      </c>
    </row>
    <row r="51" customFormat="false" ht="15" hidden="false" customHeight="false" outlineLevel="0" collapsed="false">
      <c r="A51" s="69" t="s">
        <v>238</v>
      </c>
      <c r="B51" s="71" t="n">
        <v>113895463</v>
      </c>
      <c r="C51" s="71" t="n">
        <v>1979</v>
      </c>
      <c r="D51" s="71" t="n">
        <f aca="false">B51/C51</f>
        <v>57552.0277918141</v>
      </c>
      <c r="E51" s="73" t="n">
        <f aca="false">B51/SUM($B$2:$B$51)</f>
        <v>0.0180913094891388</v>
      </c>
      <c r="F51" s="71" t="n">
        <f aca="false">COUNTIF(Data_Anomalies!$D$2:$D$81,A51)</f>
        <v>2</v>
      </c>
      <c r="G51" s="71" t="n">
        <f aca="false">SUMIF(Data_Anomalies!$D$2:$D$81,A51,Data_Anomalies!$I$2:$I$81)</f>
        <v>227516.75</v>
      </c>
      <c r="H51" s="69" t="str">
        <f aca="false">IF(F51&gt;=Parameters!$B$3,"HIGH",IF(F51&gt;=Parameters!$B$4,"ELEVATED","LOW"))</f>
        <v>ELEVATED</v>
      </c>
      <c r="I51" s="74" t="n">
        <f aca="false">SUMIF($B$2:$B$51,"&gt;="&amp;B51)/SUM($B$2:$B$51)</f>
        <v>1</v>
      </c>
      <c r="J51" s="71" t="n">
        <f aca="false">SUMIFS(Data_Anomalies!$I$2:$I$81,Data_Anomalies!$D$2:$D$81,$A51,Data_Anomalies!$C$2:$C$81,J$1)</f>
        <v>0</v>
      </c>
      <c r="K51" s="71" t="n">
        <f aca="false">SUMIFS(Data_Anomalies!$I$2:$I$81,Data_Anomalies!$D$2:$D$81,$A51,Data_Anomalies!$C$2:$C$81,K$1)</f>
        <v>0</v>
      </c>
      <c r="L51" s="71" t="n">
        <f aca="false">SUMIFS(Data_Anomalies!$I$2:$I$81,Data_Anomalies!$D$2:$D$81,$A51,Data_Anomalies!$C$2:$C$81,L$1)</f>
        <v>0</v>
      </c>
      <c r="M51" s="71" t="n">
        <f aca="false">SUMIFS(Data_Anomalies!$I$2:$I$81,Data_Anomalies!$D$2:$D$81,$A51,Data_Anomalies!$C$2:$C$81,M$1)</f>
        <v>0</v>
      </c>
      <c r="N51" s="71" t="n">
        <f aca="false">SUMIFS(Data_Anomalies!$I$2:$I$81,Data_Anomalies!$D$2:$D$81,$A51,Data_Anomalies!$C$2:$C$81,N$1)</f>
        <v>0</v>
      </c>
      <c r="O51" s="71" t="n">
        <f aca="false">SUMIFS(Data_Anomalies!$I$2:$I$81,Data_Anomalies!$D$2:$D$81,$A51,Data_Anomalies!$C$2:$C$81,O$1)</f>
        <v>227516.75</v>
      </c>
      <c r="P51" s="69" t="str">
        <f aca="false">IF(G51=0,"—",INDEX($J$1:$O$1,MATCH(MAX(J51:O51),J51:O51,0)))</f>
        <v>Office Supplies</v>
      </c>
    </row>
    <row r="53" customFormat="false" ht="15" hidden="false" customHeight="false" outlineLevel="0" collapsed="false">
      <c r="A53" s="67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8" t="s">
        <v>48</v>
      </c>
      <c r="B1" s="68" t="s">
        <v>298</v>
      </c>
      <c r="C1" s="68" t="s">
        <v>277</v>
      </c>
      <c r="D1" s="68" t="s">
        <v>299</v>
      </c>
      <c r="E1" s="68" t="s">
        <v>280</v>
      </c>
      <c r="F1" s="68" t="s">
        <v>281</v>
      </c>
      <c r="G1" s="68" t="s">
        <v>300</v>
      </c>
      <c r="H1" s="68" t="s">
        <v>50</v>
      </c>
    </row>
    <row r="2" customFormat="false" ht="15" hidden="false" customHeight="false" outlineLevel="0" collapsed="false">
      <c r="A2" s="69" t="s">
        <v>150</v>
      </c>
      <c r="B2" s="75" t="n">
        <v>655</v>
      </c>
      <c r="C2" s="71" t="n">
        <v>9887</v>
      </c>
      <c r="D2" s="71" t="n">
        <f aca="false">B2*1000000/C2</f>
        <v>66248.6092849196</v>
      </c>
      <c r="E2" s="71" t="n">
        <f aca="false">COUNTIF(Data_Anomalies!$G$2:$G$81,A2)</f>
        <v>10</v>
      </c>
      <c r="F2" s="71" t="n">
        <f aca="false">SUMIF(Data_Anomalies!$G$2:$G$81,A2,Data_Anomalies!$I$2:$I$81)</f>
        <v>37437344.7</v>
      </c>
      <c r="G2" s="74" t="n">
        <f aca="false">F2/SUM(Data_Anomalies!$I$2:$I$81)</f>
        <v>0.194574517922929</v>
      </c>
      <c r="H2" s="69" t="str">
        <f aca="false">IF(E2&gt;=Parameters!$B$5,"HIGH",IF(E2&gt;=Parameters!$B$6,"MEDIUM","LOW"))</f>
        <v>HIGH</v>
      </c>
    </row>
    <row r="3" customFormat="false" ht="15" hidden="false" customHeight="false" outlineLevel="0" collapsed="false">
      <c r="A3" s="69" t="s">
        <v>147</v>
      </c>
      <c r="B3" s="75" t="n">
        <v>653.7</v>
      </c>
      <c r="C3" s="71" t="n">
        <v>10025</v>
      </c>
      <c r="D3" s="71" t="n">
        <f aca="false">B3*1000000/C3</f>
        <v>65206.9825436409</v>
      </c>
      <c r="E3" s="71" t="n">
        <f aca="false">COUNTIF(Data_Anomalies!$G$2:$G$81,A3)</f>
        <v>8</v>
      </c>
      <c r="F3" s="71" t="n">
        <f aca="false">SUMIF(Data_Anomalies!$G$2:$G$81,A3,Data_Anomalies!$I$2:$I$81)</f>
        <v>47409539.16</v>
      </c>
      <c r="G3" s="74" t="n">
        <f aca="false">F3/SUM(Data_Anomalies!$I$2:$I$81)</f>
        <v>0.246403378789982</v>
      </c>
      <c r="H3" s="69" t="str">
        <f aca="false">IF(E3&gt;=Parameters!$B$5,"HIGH",IF(E3&gt;=Parameters!$B$6,"MEDIUM","LOW"))</f>
        <v>HIGH</v>
      </c>
    </row>
    <row r="4" customFormat="false" ht="15" hidden="false" customHeight="false" outlineLevel="0" collapsed="false">
      <c r="A4" s="69" t="s">
        <v>153</v>
      </c>
      <c r="B4" s="75" t="n">
        <v>645.6</v>
      </c>
      <c r="C4" s="71" t="n">
        <v>10015</v>
      </c>
      <c r="D4" s="71" t="n">
        <f aca="false">B4*1000000/C4</f>
        <v>64463.3050424364</v>
      </c>
      <c r="E4" s="71" t="n">
        <f aca="false">COUNTIF(Data_Anomalies!$G$2:$G$81,A4)</f>
        <v>8</v>
      </c>
      <c r="F4" s="71" t="n">
        <f aca="false">SUMIF(Data_Anomalies!$G$2:$G$81,A4,Data_Anomalies!$I$2:$I$81)</f>
        <v>38967941.35</v>
      </c>
      <c r="G4" s="74" t="n">
        <f aca="false">F4/SUM(Data_Anomalies!$I$2:$I$81)</f>
        <v>0.20252954538801</v>
      </c>
      <c r="H4" s="69" t="str">
        <f aca="false">IF(E4&gt;=Parameters!$B$5,"HIGH",IF(E4&gt;=Parameters!$B$6,"MEDIUM","LOW"))</f>
        <v>HIGH</v>
      </c>
    </row>
    <row r="5" customFormat="false" ht="15" hidden="false" customHeight="false" outlineLevel="0" collapsed="false">
      <c r="A5" s="69" t="s">
        <v>177</v>
      </c>
      <c r="B5" s="75" t="n">
        <v>636.6</v>
      </c>
      <c r="C5" s="71" t="n">
        <v>10062</v>
      </c>
      <c r="D5" s="71" t="n">
        <f aca="false">B5*1000000/C5</f>
        <v>63267.7400119261</v>
      </c>
      <c r="E5" s="71" t="n">
        <f aca="false">COUNTIF(Data_Anomalies!$G$2:$G$81,A5)</f>
        <v>8</v>
      </c>
      <c r="F5" s="71" t="n">
        <f aca="false">SUMIF(Data_Anomalies!$G$2:$G$81,A5,Data_Anomalies!$I$2:$I$81)</f>
        <v>8429281.29</v>
      </c>
      <c r="G5" s="74" t="n">
        <f aca="false">F5/SUM(Data_Anomalies!$I$2:$I$81)</f>
        <v>0.0438098202899127</v>
      </c>
      <c r="H5" s="69" t="str">
        <f aca="false">IF(E5&gt;=Parameters!$B$5,"HIGH",IF(E5&gt;=Parameters!$B$6,"MEDIUM","LOW"))</f>
        <v>HIGH</v>
      </c>
    </row>
    <row r="6" customFormat="false" ht="15" hidden="false" customHeight="false" outlineLevel="0" collapsed="false">
      <c r="A6" s="69" t="s">
        <v>179</v>
      </c>
      <c r="B6" s="75" t="n">
        <v>631.2</v>
      </c>
      <c r="C6" s="71" t="n">
        <v>10143</v>
      </c>
      <c r="D6" s="71" t="n">
        <f aca="false">B6*1000000/C6</f>
        <v>62230.1094350784</v>
      </c>
      <c r="E6" s="71" t="n">
        <f aca="false">COUNTIF(Data_Anomalies!$G$2:$G$81,A6)</f>
        <v>8</v>
      </c>
      <c r="F6" s="71" t="n">
        <f aca="false">SUMIF(Data_Anomalies!$G$2:$G$81,A6,Data_Anomalies!$I$2:$I$81)</f>
        <v>5174464.53</v>
      </c>
      <c r="G6" s="74" t="n">
        <f aca="false">F6/SUM(Data_Anomalies!$I$2:$I$81)</f>
        <v>0.0268934388777323</v>
      </c>
      <c r="H6" s="69" t="str">
        <f aca="false">IF(E6&gt;=Parameters!$B$5,"HIGH",IF(E6&gt;=Parameters!$B$6,"MEDIUM","LOW"))</f>
        <v>HIGH</v>
      </c>
    </row>
    <row r="7" customFormat="false" ht="15" hidden="false" customHeight="false" outlineLevel="0" collapsed="false">
      <c r="A7" s="69" t="s">
        <v>158</v>
      </c>
      <c r="B7" s="75" t="n">
        <v>630.6</v>
      </c>
      <c r="C7" s="71" t="n">
        <v>10164</v>
      </c>
      <c r="D7" s="71" t="n">
        <f aca="false">B7*1000000/C7</f>
        <v>62042.5029515939</v>
      </c>
      <c r="E7" s="71" t="n">
        <f aca="false">COUNTIF(Data_Anomalies!$G$2:$G$81,A7)</f>
        <v>8</v>
      </c>
      <c r="F7" s="71" t="n">
        <f aca="false">SUMIF(Data_Anomalies!$G$2:$G$81,A7,Data_Anomalies!$I$2:$I$81)</f>
        <v>13584968.7</v>
      </c>
      <c r="G7" s="74" t="n">
        <f aca="false">F7/SUM(Data_Anomalies!$I$2:$I$81)</f>
        <v>0.0706056681365167</v>
      </c>
      <c r="H7" s="69" t="str">
        <f aca="false">IF(E7&gt;=Parameters!$B$5,"HIGH",IF(E7&gt;=Parameters!$B$6,"MEDIUM","LOW"))</f>
        <v>HIGH</v>
      </c>
    </row>
    <row r="8" customFormat="false" ht="15" hidden="false" customHeight="false" outlineLevel="0" collapsed="false">
      <c r="A8" s="69" t="s">
        <v>166</v>
      </c>
      <c r="B8" s="75" t="n">
        <v>616.2</v>
      </c>
      <c r="C8" s="71" t="n">
        <v>9946</v>
      </c>
      <c r="D8" s="71" t="n">
        <f aca="false">B8*1000000/C8</f>
        <v>61954.554594812</v>
      </c>
      <c r="E8" s="71" t="n">
        <f aca="false">COUNTIF(Data_Anomalies!$G$2:$G$81,A8)</f>
        <v>10</v>
      </c>
      <c r="F8" s="71" t="n">
        <f aca="false">SUMIF(Data_Anomalies!$G$2:$G$81,A8,Data_Anomalies!$I$2:$I$81)</f>
        <v>16359616.71</v>
      </c>
      <c r="G8" s="74" t="n">
        <f aca="false">F8/SUM(Data_Anomalies!$I$2:$I$81)</f>
        <v>0.0850264504670425</v>
      </c>
      <c r="H8" s="69" t="str">
        <f aca="false">IF(E8&gt;=Parameters!$B$5,"HIGH",IF(E8&gt;=Parameters!$B$6,"MEDIUM","LOW"))</f>
        <v>HIGH</v>
      </c>
    </row>
    <row r="9" customFormat="false" ht="15" hidden="false" customHeight="false" outlineLevel="0" collapsed="false">
      <c r="A9" s="69" t="s">
        <v>184</v>
      </c>
      <c r="B9" s="75" t="n">
        <v>615.6</v>
      </c>
      <c r="C9" s="71" t="n">
        <v>9817</v>
      </c>
      <c r="D9" s="71" t="n">
        <f aca="false">B9*1000000/C9</f>
        <v>62707.5481307935</v>
      </c>
      <c r="E9" s="71" t="n">
        <f aca="false">COUNTIF(Data_Anomalies!$G$2:$G$81,A9)</f>
        <v>9</v>
      </c>
      <c r="F9" s="71" t="n">
        <f aca="false">SUMIF(Data_Anomalies!$G$2:$G$81,A9,Data_Anomalies!$I$2:$I$81)</f>
        <v>5630451.76</v>
      </c>
      <c r="G9" s="74" t="n">
        <f aca="false">F9/SUM(Data_Anomalies!$I$2:$I$81)</f>
        <v>0.0292633584371252</v>
      </c>
      <c r="H9" s="69" t="str">
        <f aca="false">IF(E9&gt;=Parameters!$B$5,"HIGH",IF(E9&gt;=Parameters!$B$6,"MEDIUM","LOW"))</f>
        <v>HIGH</v>
      </c>
    </row>
    <row r="10" customFormat="false" ht="15" hidden="false" customHeight="false" outlineLevel="0" collapsed="false">
      <c r="A10" s="69" t="s">
        <v>161</v>
      </c>
      <c r="B10" s="75" t="n">
        <v>614</v>
      </c>
      <c r="C10" s="71" t="n">
        <v>10062</v>
      </c>
      <c r="D10" s="71" t="n">
        <f aca="false">B10*1000000/C10</f>
        <v>61021.6656728285</v>
      </c>
      <c r="E10" s="71" t="n">
        <f aca="false">COUNTIF(Data_Anomalies!$G$2:$G$81,A10)</f>
        <v>7</v>
      </c>
      <c r="F10" s="71" t="n">
        <f aca="false">SUMIF(Data_Anomalies!$G$2:$G$81,A10,Data_Anomalies!$I$2:$I$81)</f>
        <v>18629954.3</v>
      </c>
      <c r="G10" s="74" t="n">
        <f aca="false">F10/SUM(Data_Anomalies!$I$2:$I$81)</f>
        <v>0.096826161307554</v>
      </c>
      <c r="H10" s="69" t="str">
        <f aca="false">IF(E10&gt;=Parameters!$B$5,"HIGH",IF(E10&gt;=Parameters!$B$6,"MEDIUM","LOW"))</f>
        <v>MEDIUM</v>
      </c>
    </row>
    <row r="11" customFormat="false" ht="15" hidden="false" customHeight="false" outlineLevel="0" collapsed="false">
      <c r="A11" s="69" t="s">
        <v>216</v>
      </c>
      <c r="B11" s="75" t="n">
        <v>597</v>
      </c>
      <c r="C11" s="71" t="n">
        <v>9879</v>
      </c>
      <c r="D11" s="71" t="n">
        <f aca="false">B11*1000000/C11</f>
        <v>60431.2177345885</v>
      </c>
      <c r="E11" s="71" t="n">
        <f aca="false">COUNTIF(Data_Anomalies!$G$2:$G$81,A11)</f>
        <v>4</v>
      </c>
      <c r="F11" s="71" t="n">
        <f aca="false">SUMIF(Data_Anomalies!$G$2:$G$81,A11,Data_Anomalies!$I$2:$I$81)</f>
        <v>782643.1</v>
      </c>
      <c r="G11" s="74" t="n">
        <f aca="false">F11/SUM(Data_Anomalies!$I$2:$I$81)</f>
        <v>0.00406766038319504</v>
      </c>
      <c r="H11" s="69" t="str">
        <f aca="false">IF(E11&gt;=Parameters!$B$5,"HIGH",IF(E11&gt;=Parameters!$B$6,"MEDIUM","LOW"))</f>
        <v>LOW</v>
      </c>
    </row>
    <row r="13" customFormat="false" ht="15" hidden="false" customHeight="false" outlineLevel="0" collapsed="false">
      <c r="A13" s="67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7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68" t="s">
        <v>17</v>
      </c>
      <c r="B1" s="68" t="s">
        <v>302</v>
      </c>
      <c r="C1" s="68" t="s">
        <v>303</v>
      </c>
      <c r="D1" s="68" t="s">
        <v>304</v>
      </c>
      <c r="E1" s="68" t="s">
        <v>19</v>
      </c>
      <c r="F1" s="68" t="s">
        <v>305</v>
      </c>
      <c r="G1" s="68" t="s">
        <v>306</v>
      </c>
      <c r="H1" s="68" t="s">
        <v>307</v>
      </c>
    </row>
    <row r="2" customFormat="false" ht="15" hidden="false" customHeight="false" outlineLevel="0" collapsed="false">
      <c r="A2" s="69" t="s">
        <v>145</v>
      </c>
      <c r="B2" s="75" t="n">
        <v>2025.35</v>
      </c>
      <c r="C2" s="75" t="n">
        <v>1974.23</v>
      </c>
      <c r="D2" s="75" t="n">
        <f aca="false">B2+C2</f>
        <v>3999.58</v>
      </c>
      <c r="E2" s="74" t="n">
        <f aca="false">D2/SUM($D$2:$D$7)</f>
        <v>0.635307759510762</v>
      </c>
      <c r="F2" s="76" t="n">
        <f aca="false">C2/B2-1</f>
        <v>-0.0252400819611425</v>
      </c>
      <c r="G2" s="77" t="n">
        <f aca="false">C2-B2</f>
        <v>-51.1199999999999</v>
      </c>
      <c r="H2" s="77" t="n">
        <f aca="false">C2-B2*(1+Parameters!$B$2)</f>
        <v>-122.00725</v>
      </c>
    </row>
    <row r="3" customFormat="false" ht="15" hidden="false" customHeight="false" outlineLevel="0" collapsed="false">
      <c r="A3" s="69" t="s">
        <v>157</v>
      </c>
      <c r="B3" s="75" t="n">
        <v>589.07</v>
      </c>
      <c r="C3" s="75" t="n">
        <v>629.79</v>
      </c>
      <c r="D3" s="75" t="n">
        <f aca="false">B3+C3</f>
        <v>1218.86</v>
      </c>
      <c r="E3" s="74" t="n">
        <f aca="false">D3/SUM($D$2:$D$7)</f>
        <v>0.193608132793265</v>
      </c>
      <c r="F3" s="76" t="n">
        <f aca="false">C3/B3-1</f>
        <v>0.0691259103332369</v>
      </c>
      <c r="G3" s="77" t="n">
        <f aca="false">C3-B3</f>
        <v>40.7199999999999</v>
      </c>
      <c r="H3" s="77" t="n">
        <f aca="false">C3-B3*(1+Parameters!$B$2)</f>
        <v>20.10255</v>
      </c>
    </row>
    <row r="4" customFormat="false" ht="15" hidden="false" customHeight="false" outlineLevel="0" collapsed="false">
      <c r="A4" s="69" t="s">
        <v>168</v>
      </c>
      <c r="B4" s="75" t="n">
        <v>315.03</v>
      </c>
      <c r="C4" s="75" t="n">
        <v>316.86</v>
      </c>
      <c r="D4" s="75" t="n">
        <f aca="false">B4+C4</f>
        <v>631.89</v>
      </c>
      <c r="E4" s="74" t="n">
        <f aca="false">D4/SUM($D$2:$D$7)</f>
        <v>0.100371694067191</v>
      </c>
      <c r="F4" s="76" t="n">
        <f aca="false">C4/B4-1</f>
        <v>0.00580897057423124</v>
      </c>
      <c r="G4" s="77" t="n">
        <f aca="false">C4-B4</f>
        <v>1.83000000000004</v>
      </c>
      <c r="H4" s="77" t="n">
        <f aca="false">C4-B4*(1+Parameters!$B$2)</f>
        <v>-9.19604999999996</v>
      </c>
    </row>
    <row r="5" customFormat="false" ht="15" hidden="false" customHeight="false" outlineLevel="0" collapsed="false">
      <c r="A5" s="69" t="s">
        <v>81</v>
      </c>
      <c r="B5" s="75" t="n">
        <v>118.05</v>
      </c>
      <c r="C5" s="75" t="n">
        <v>122.34</v>
      </c>
      <c r="D5" s="75" t="n">
        <f aca="false">B5+C5</f>
        <v>240.39</v>
      </c>
      <c r="E5" s="74" t="n">
        <f aca="false">D5/SUM($D$2:$D$7)</f>
        <v>0.0381844174410293</v>
      </c>
      <c r="F5" s="76" t="n">
        <f aca="false">C5/B5-1</f>
        <v>0.0363405336721729</v>
      </c>
      <c r="G5" s="77" t="n">
        <f aca="false">C5-B5</f>
        <v>4.29000000000001</v>
      </c>
      <c r="H5" s="77" t="n">
        <f aca="false">C5-B5*(1+Parameters!$B$2)</f>
        <v>0.15825000000001</v>
      </c>
    </row>
    <row r="6" customFormat="false" ht="15" hidden="false" customHeight="false" outlineLevel="0" collapsed="false">
      <c r="A6" s="69" t="s">
        <v>79</v>
      </c>
      <c r="B6" s="75" t="n">
        <v>82.54</v>
      </c>
      <c r="C6" s="75" t="n">
        <v>82.35</v>
      </c>
      <c r="D6" s="75" t="n">
        <f aca="false">B6+C6</f>
        <v>164.89</v>
      </c>
      <c r="E6" s="74" t="n">
        <f aca="false">D6/SUM($D$2:$D$7)</f>
        <v>0.0261917242474784</v>
      </c>
      <c r="F6" s="76" t="n">
        <f aca="false">C6/B6-1</f>
        <v>-0.00230191422340698</v>
      </c>
      <c r="G6" s="77" t="n">
        <f aca="false">C6-B6</f>
        <v>-0.190000000000012</v>
      </c>
      <c r="H6" s="77" t="n">
        <f aca="false">C6-B6*(1+Parameters!$B$2)</f>
        <v>-3.0789</v>
      </c>
    </row>
    <row r="7" customFormat="false" ht="15" hidden="false" customHeight="false" outlineLevel="0" collapsed="false">
      <c r="A7" s="69" t="s">
        <v>77</v>
      </c>
      <c r="B7" s="75" t="n">
        <v>19.99</v>
      </c>
      <c r="C7" s="75" t="n">
        <v>19.9</v>
      </c>
      <c r="D7" s="75" t="n">
        <f aca="false">B7+C7</f>
        <v>39.89</v>
      </c>
      <c r="E7" s="74" t="n">
        <f aca="false">D7/SUM($D$2:$D$7)</f>
        <v>0.0063362719402748</v>
      </c>
      <c r="F7" s="76" t="n">
        <f aca="false">C7/B7-1</f>
        <v>-0.0045022511255628</v>
      </c>
      <c r="G7" s="77" t="n">
        <f aca="false">C7-B7</f>
        <v>-0.0899999999999999</v>
      </c>
      <c r="H7" s="77" t="n">
        <f aca="false">C7-B7*(1+Parameters!$B$2)</f>
        <v>-0.789649999999998</v>
      </c>
    </row>
    <row r="9" customFormat="false" ht="15" hidden="false" customHeight="false" outlineLevel="0" collapsed="false">
      <c r="A9" s="67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7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68" t="s">
        <v>36</v>
      </c>
      <c r="B1" s="68" t="s">
        <v>302</v>
      </c>
      <c r="C1" s="68" t="s">
        <v>303</v>
      </c>
      <c r="D1" s="68" t="s">
        <v>306</v>
      </c>
      <c r="E1" s="68" t="s">
        <v>309</v>
      </c>
    </row>
    <row r="2" customFormat="false" ht="15" hidden="false" customHeight="false" outlineLevel="0" collapsed="false">
      <c r="A2" s="69" t="s">
        <v>310</v>
      </c>
      <c r="B2" s="75" t="n">
        <v>256.8</v>
      </c>
      <c r="C2" s="75" t="n">
        <v>261.1</v>
      </c>
      <c r="D2" s="77" t="n">
        <f aca="false">C2-B2</f>
        <v>4.30000000000001</v>
      </c>
      <c r="E2" s="76" t="n">
        <f aca="false">C2/B2-1</f>
        <v>0.0167445482866044</v>
      </c>
    </row>
    <row r="3" customFormat="false" ht="15" hidden="false" customHeight="false" outlineLevel="0" collapsed="false">
      <c r="A3" s="69" t="s">
        <v>311</v>
      </c>
      <c r="B3" s="75" t="n">
        <v>239.6</v>
      </c>
      <c r="C3" s="75" t="n">
        <v>236.1</v>
      </c>
      <c r="D3" s="77" t="n">
        <f aca="false">C3-B3</f>
        <v>-3.5</v>
      </c>
      <c r="E3" s="76" t="n">
        <f aca="false">C3/B3-1</f>
        <v>-0.0146076794657763</v>
      </c>
    </row>
    <row r="4" customFormat="false" ht="15" hidden="false" customHeight="false" outlineLevel="0" collapsed="false">
      <c r="A4" s="69" t="s">
        <v>312</v>
      </c>
      <c r="B4" s="75" t="n">
        <v>262.4</v>
      </c>
      <c r="C4" s="75" t="n">
        <v>282</v>
      </c>
      <c r="D4" s="77" t="n">
        <f aca="false">C4-B4</f>
        <v>19.6</v>
      </c>
      <c r="E4" s="76" t="n">
        <f aca="false">C4/B4-1</f>
        <v>0.0746951219512195</v>
      </c>
    </row>
    <row r="5" customFormat="false" ht="15" hidden="false" customHeight="false" outlineLevel="0" collapsed="false">
      <c r="A5" s="69" t="s">
        <v>313</v>
      </c>
      <c r="B5" s="75" t="n">
        <v>244.1</v>
      </c>
      <c r="C5" s="75" t="n">
        <v>255.5</v>
      </c>
      <c r="D5" s="77" t="n">
        <f aca="false">C5-B5</f>
        <v>11.4</v>
      </c>
      <c r="E5" s="76" t="n">
        <f aca="false">C5/B5-1</f>
        <v>0.0467021712412945</v>
      </c>
    </row>
    <row r="6" customFormat="false" ht="15" hidden="false" customHeight="false" outlineLevel="0" collapsed="false">
      <c r="A6" s="69" t="s">
        <v>314</v>
      </c>
      <c r="B6" s="75" t="n">
        <v>260</v>
      </c>
      <c r="C6" s="75" t="n">
        <v>271.3</v>
      </c>
      <c r="D6" s="77" t="n">
        <f aca="false">C6-B6</f>
        <v>11.3</v>
      </c>
      <c r="E6" s="76" t="n">
        <f aca="false">C6/B6-1</f>
        <v>0.0434615384615384</v>
      </c>
    </row>
    <row r="7" customFormat="false" ht="15" hidden="false" customHeight="false" outlineLevel="0" collapsed="false">
      <c r="A7" s="69" t="s">
        <v>315</v>
      </c>
      <c r="B7" s="75" t="n">
        <v>255.6</v>
      </c>
      <c r="C7" s="75" t="n">
        <v>254.9</v>
      </c>
      <c r="D7" s="77" t="n">
        <f aca="false">C7-B7</f>
        <v>-0.699999999999989</v>
      </c>
      <c r="E7" s="76" t="n">
        <f aca="false">C7/B7-1</f>
        <v>-0.00273865414710484</v>
      </c>
    </row>
    <row r="8" customFormat="false" ht="15" hidden="false" customHeight="false" outlineLevel="0" collapsed="false">
      <c r="A8" s="69" t="s">
        <v>316</v>
      </c>
      <c r="B8" s="75" t="n">
        <v>260.4</v>
      </c>
      <c r="C8" s="75" t="n">
        <v>262.8</v>
      </c>
      <c r="D8" s="77" t="n">
        <f aca="false">C8-B8</f>
        <v>2.40000000000003</v>
      </c>
      <c r="E8" s="76" t="n">
        <f aca="false">C8/B8-1</f>
        <v>0.00921658986175133</v>
      </c>
    </row>
    <row r="9" customFormat="false" ht="15" hidden="false" customHeight="false" outlineLevel="0" collapsed="false">
      <c r="A9" s="69" t="s">
        <v>317</v>
      </c>
      <c r="B9" s="75" t="n">
        <v>290.8</v>
      </c>
      <c r="C9" s="75" t="n">
        <v>272.5</v>
      </c>
      <c r="D9" s="77" t="n">
        <f aca="false">C9-B9</f>
        <v>-18.3</v>
      </c>
      <c r="E9" s="76" t="n">
        <f aca="false">C9/B9-1</f>
        <v>-0.06292984869326</v>
      </c>
    </row>
    <row r="10" customFormat="false" ht="15" hidden="false" customHeight="false" outlineLevel="0" collapsed="false">
      <c r="A10" s="69" t="s">
        <v>318</v>
      </c>
      <c r="B10" s="75" t="n">
        <v>302.9</v>
      </c>
      <c r="C10" s="75" t="n">
        <v>261.1</v>
      </c>
      <c r="D10" s="77" t="n">
        <f aca="false">C10-B10</f>
        <v>-41.8</v>
      </c>
      <c r="E10" s="76" t="n">
        <f aca="false">C10/B10-1</f>
        <v>-0.137999339716078</v>
      </c>
    </row>
    <row r="11" customFormat="false" ht="15" hidden="false" customHeight="false" outlineLevel="0" collapsed="false">
      <c r="A11" s="69" t="s">
        <v>319</v>
      </c>
      <c r="B11" s="75" t="n">
        <v>264.2</v>
      </c>
      <c r="C11" s="75" t="n">
        <v>270.2</v>
      </c>
      <c r="D11" s="77" t="n">
        <f aca="false">C11-B11</f>
        <v>6</v>
      </c>
      <c r="E11" s="76" t="n">
        <f aca="false">C11/B11-1</f>
        <v>0.0227100681302044</v>
      </c>
    </row>
    <row r="12" customFormat="false" ht="15" hidden="false" customHeight="false" outlineLevel="0" collapsed="false">
      <c r="A12" s="69" t="s">
        <v>320</v>
      </c>
      <c r="B12" s="75" t="n">
        <v>255.9</v>
      </c>
      <c r="C12" s="75" t="n">
        <v>261.9</v>
      </c>
      <c r="D12" s="77" t="n">
        <f aca="false">C12-B12</f>
        <v>5.99999999999997</v>
      </c>
      <c r="E12" s="76" t="n">
        <f aca="false">C12/B12-1</f>
        <v>0.0234466588511135</v>
      </c>
    </row>
    <row r="13" customFormat="false" ht="15" hidden="false" customHeight="false" outlineLevel="0" collapsed="false">
      <c r="A13" s="69" t="s">
        <v>321</v>
      </c>
      <c r="B13" s="75" t="n">
        <v>257.2</v>
      </c>
      <c r="C13" s="75" t="n">
        <v>255.9</v>
      </c>
      <c r="D13" s="77" t="n">
        <f aca="false">C13-B13</f>
        <v>-1.29999999999998</v>
      </c>
      <c r="E13" s="76" t="n">
        <f aca="false">C13/B13-1</f>
        <v>-0.005054432348367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8" t="s">
        <v>17</v>
      </c>
      <c r="B1" s="68" t="s">
        <v>322</v>
      </c>
      <c r="C1" s="68" t="s">
        <v>323</v>
      </c>
      <c r="D1" s="68" t="s">
        <v>324</v>
      </c>
      <c r="E1" s="68" t="s">
        <v>34</v>
      </c>
    </row>
    <row r="2" customFormat="false" ht="15" hidden="false" customHeight="false" outlineLevel="0" collapsed="false">
      <c r="A2" s="69" t="s">
        <v>145</v>
      </c>
      <c r="B2" s="71" t="n">
        <v>76</v>
      </c>
      <c r="C2" s="72" t="n">
        <v>40.47</v>
      </c>
      <c r="D2" s="71" t="n">
        <v>7213</v>
      </c>
      <c r="E2" s="69" t="str">
        <f aca="false">IF(C2&gt;=Parameters!$B$7,"HIGH",IF(C2&gt;=Parameters!$B$8,"MEDIUM","LOW"))</f>
        <v>HIGH</v>
      </c>
    </row>
    <row r="3" customFormat="false" ht="15" hidden="false" customHeight="false" outlineLevel="0" collapsed="false">
      <c r="A3" s="69" t="s">
        <v>168</v>
      </c>
      <c r="B3" s="71" t="n">
        <v>166</v>
      </c>
      <c r="C3" s="72" t="n">
        <v>9.5</v>
      </c>
      <c r="D3" s="71" t="n">
        <v>1031</v>
      </c>
      <c r="E3" s="69" t="str">
        <f aca="false">IF(C3&gt;=Parameters!$B$7,"HIGH",IF(C3&gt;=Parameters!$B$8,"MEDIUM","LOW"))</f>
        <v>MEDIUM</v>
      </c>
    </row>
    <row r="4" customFormat="false" ht="15" hidden="false" customHeight="false" outlineLevel="0" collapsed="false">
      <c r="A4" s="69" t="s">
        <v>157</v>
      </c>
      <c r="B4" s="71" t="n">
        <v>27</v>
      </c>
      <c r="C4" s="72" t="n">
        <v>9.68</v>
      </c>
      <c r="D4" s="71" t="n">
        <v>2262</v>
      </c>
      <c r="E4" s="69" t="str">
        <f aca="false">IF(C4&gt;=Parameters!$B$7,"HIGH",IF(C4&gt;=Parameters!$B$8,"MEDIUM","LOW"))</f>
        <v>MEDIUM</v>
      </c>
    </row>
    <row r="5" customFormat="false" ht="15" hidden="false" customHeight="false" outlineLevel="0" collapsed="false">
      <c r="A5" s="69" t="s">
        <v>81</v>
      </c>
      <c r="B5" s="71" t="n">
        <v>13</v>
      </c>
      <c r="C5" s="72" t="n">
        <v>3.02</v>
      </c>
      <c r="D5" s="71" t="n">
        <v>510</v>
      </c>
      <c r="E5" s="69" t="str">
        <f aca="false">IF(C5&gt;=Parameters!$B$7,"HIGH",IF(C5&gt;=Parameters!$B$8,"MEDIUM","LOW"))</f>
        <v>LOW</v>
      </c>
    </row>
    <row r="6" customFormat="false" ht="15" hidden="false" customHeight="false" outlineLevel="0" collapsed="false">
      <c r="A6" s="69" t="s">
        <v>79</v>
      </c>
      <c r="B6" s="71" t="n">
        <v>10</v>
      </c>
      <c r="C6" s="72" t="n">
        <v>0.83</v>
      </c>
      <c r="D6" s="71" t="n">
        <v>320</v>
      </c>
      <c r="E6" s="69" t="str">
        <f aca="false">IF(C6&gt;=Parameters!$B$7,"HIGH",IF(C6&gt;=Parameters!$B$8,"MEDIUM","LOW"))</f>
        <v>LOW</v>
      </c>
    </row>
    <row r="7" customFormat="false" ht="15" hidden="false" customHeight="false" outlineLevel="0" collapsed="false">
      <c r="A7" s="69" t="s">
        <v>77</v>
      </c>
      <c r="B7" s="71" t="n">
        <v>12</v>
      </c>
      <c r="C7" s="72" t="n">
        <v>0.39</v>
      </c>
      <c r="D7" s="71" t="n">
        <v>82</v>
      </c>
      <c r="E7" s="69" t="str">
        <f aca="false">IF(C7&gt;=Parameters!$B$7,"HIGH",IF(C7&gt;=Parameters!$B$8,"MEDIUM","LOW"))</f>
        <v>LOW</v>
      </c>
    </row>
    <row r="9" customFormat="false" ht="15" hidden="false" customHeight="false" outlineLevel="0" collapsed="false">
      <c r="A9" s="67" t="s">
        <v>325</v>
      </c>
    </row>
    <row r="11" customFormat="false" ht="15" hidden="false" customHeight="false" outlineLevel="0" collapsed="false">
      <c r="A11" s="78" t="s">
        <v>326</v>
      </c>
    </row>
    <row r="12" customFormat="false" ht="15" hidden="false" customHeight="false" outlineLevel="0" collapsed="false">
      <c r="A12" s="63" t="s">
        <v>327</v>
      </c>
      <c r="B12" s="79" t="n">
        <v>100000</v>
      </c>
    </row>
    <row r="13" customFormat="false" ht="15" hidden="false" customHeight="false" outlineLevel="0" collapsed="false">
      <c r="A13" s="63" t="s">
        <v>328</v>
      </c>
      <c r="B13" s="79" t="n">
        <v>2177</v>
      </c>
    </row>
    <row r="14" customFormat="false" ht="15" hidden="false" customHeight="false" outlineLevel="0" collapsed="false">
      <c r="A14" s="63" t="s">
        <v>329</v>
      </c>
      <c r="B14" s="80" t="n">
        <v>284.9</v>
      </c>
    </row>
    <row r="15" customFormat="false" ht="15" hidden="false" customHeight="false" outlineLevel="0" collapsed="false">
      <c r="A15" s="67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62" t="s">
        <v>331</v>
      </c>
      <c r="B1" s="62" t="s">
        <v>116</v>
      </c>
      <c r="D1" s="81" t="s">
        <v>17</v>
      </c>
      <c r="E1" s="81" t="s">
        <v>332</v>
      </c>
      <c r="F1" s="81" t="s">
        <v>333</v>
      </c>
      <c r="G1" s="81" t="s">
        <v>334</v>
      </c>
      <c r="H1" s="81" t="s">
        <v>335</v>
      </c>
    </row>
    <row r="2" customFormat="false" ht="15" hidden="false" customHeight="false" outlineLevel="0" collapsed="false">
      <c r="A2" s="63" t="s">
        <v>336</v>
      </c>
      <c r="B2" s="82" t="n">
        <f aca="false">SUM(Data_Suppliers!$B$2:$B$51)</f>
        <v>6295589773</v>
      </c>
      <c r="D2" s="63" t="s">
        <v>145</v>
      </c>
      <c r="E2" s="63" t="n">
        <f aca="false">COUNTIFS(Data_Anomalies!$C$2:$C$81,$D2,Data_Anomalies!$H$2:$H$81,"Price anomaly")</f>
        <v>6</v>
      </c>
      <c r="F2" s="63" t="n">
        <f aca="false">COUNTIFS(Data_Anomalies!$C$2:$C$81,$D2,Data_Anomalies!$H$2:$H$81,"Quantity anomaly")</f>
        <v>5</v>
      </c>
      <c r="G2" s="83" t="n">
        <f aca="false">SUMIFS(Data_Anomalies!$I$2:$I$81,Data_Anomalies!$C$2:$C$81,$D2,Data_Anomalies!$H$2:$H$81,"Price anomaly")/1000000</f>
        <v>14.65004823</v>
      </c>
      <c r="H2" s="83" t="n">
        <f aca="false">SUMIFS(Data_Anomalies!$I$2:$I$81,Data_Anomalies!$C$2:$C$81,$D2,Data_Anomalies!$H$2:$H$81,"Quantity anomaly")/1000000</f>
        <v>95.911849</v>
      </c>
    </row>
    <row r="3" customFormat="false" ht="15" hidden="false" customHeight="false" outlineLevel="0" collapsed="false">
      <c r="A3" s="63" t="s">
        <v>337</v>
      </c>
      <c r="B3" s="82" t="n">
        <f aca="false">Data_Outliers!$B$12</f>
        <v>100000</v>
      </c>
      <c r="D3" s="63" t="s">
        <v>157</v>
      </c>
      <c r="E3" s="63" t="n">
        <f aca="false">COUNTIFS(Data_Anomalies!$C$2:$C$81,$D3,Data_Anomalies!$H$2:$H$81,"Price anomaly")</f>
        <v>7</v>
      </c>
      <c r="F3" s="63" t="n">
        <f aca="false">COUNTIFS(Data_Anomalies!$C$2:$C$81,$D3,Data_Anomalies!$H$2:$H$81,"Quantity anomaly")</f>
        <v>6</v>
      </c>
      <c r="G3" s="83" t="n">
        <f aca="false">SUMIFS(Data_Anomalies!$I$2:$I$81,Data_Anomalies!$C$2:$C$81,$D3,Data_Anomalies!$H$2:$H$81,"Price anomaly")/1000000</f>
        <v>7.56358706</v>
      </c>
      <c r="H3" s="83" t="n">
        <f aca="false">SUMIFS(Data_Anomalies!$I$2:$I$81,Data_Anomalies!$C$2:$C$81,$D3,Data_Anomalies!$H$2:$H$81,"Quantity anomaly")/1000000</f>
        <v>44.363704</v>
      </c>
    </row>
    <row r="4" customFormat="false" ht="15" hidden="false" customHeight="false" outlineLevel="0" collapsed="false">
      <c r="A4" s="63" t="s">
        <v>338</v>
      </c>
      <c r="B4" s="82" t="n">
        <f aca="false">COUNTA(Data_Suppliers!$A$2:$A$51)</f>
        <v>50</v>
      </c>
      <c r="D4" s="63" t="s">
        <v>168</v>
      </c>
      <c r="E4" s="63" t="n">
        <f aca="false">COUNTIFS(Data_Anomalies!$C$2:$C$81,$D4,Data_Anomalies!$H$2:$H$81,"Price anomaly")</f>
        <v>2</v>
      </c>
      <c r="F4" s="63" t="n">
        <f aca="false">COUNTIFS(Data_Anomalies!$C$2:$C$81,$D4,Data_Anomalies!$H$2:$H$81,"Quantity anomaly")</f>
        <v>3</v>
      </c>
      <c r="G4" s="83" t="n">
        <f aca="false">SUMIFS(Data_Anomalies!$I$2:$I$81,Data_Anomalies!$C$2:$C$81,$D4,Data_Anomalies!$H$2:$H$81,"Price anomaly")/1000000</f>
        <v>0.45500037</v>
      </c>
      <c r="H4" s="83" t="n">
        <f aca="false">SUMIFS(Data_Anomalies!$I$2:$I$81,Data_Anomalies!$C$2:$C$81,$D4,Data_Anomalies!$H$2:$H$81,"Quantity anomaly")/1000000</f>
        <v>10.623082</v>
      </c>
    </row>
    <row r="5" customFormat="false" ht="15" hidden="false" customHeight="false" outlineLevel="0" collapsed="false">
      <c r="A5" s="63" t="s">
        <v>339</v>
      </c>
      <c r="B5" s="82" t="n">
        <f aca="false">COUNTA(Data_Buyers!$A$2:$A$11)</f>
        <v>10</v>
      </c>
      <c r="D5" s="63" t="s">
        <v>81</v>
      </c>
      <c r="E5" s="63" t="n">
        <f aca="false">COUNTIFS(Data_Anomalies!$C$2:$C$81,$D5,Data_Anomalies!$H$2:$H$81,"Price anomaly")</f>
        <v>13</v>
      </c>
      <c r="F5" s="63" t="n">
        <f aca="false">COUNTIFS(Data_Anomalies!$C$2:$C$81,$D5,Data_Anomalies!$H$2:$H$81,"Quantity anomaly")</f>
        <v>4</v>
      </c>
      <c r="G5" s="83" t="n">
        <f aca="false">SUMIFS(Data_Anomalies!$I$2:$I$81,Data_Anomalies!$C$2:$C$81,$D5,Data_Anomalies!$H$2:$H$81,"Price anomaly")/1000000</f>
        <v>3.02658715</v>
      </c>
      <c r="H5" s="83" t="n">
        <f aca="false">SUMIFS(Data_Anomalies!$I$2:$I$81,Data_Anomalies!$C$2:$C$81,$D5,Data_Anomalies!$H$2:$H$81,"Quantity anomaly")/1000000</f>
        <v>7.450452</v>
      </c>
    </row>
    <row r="6" customFormat="false" ht="15" hidden="false" customHeight="false" outlineLevel="0" collapsed="false">
      <c r="A6" s="63" t="s">
        <v>340</v>
      </c>
      <c r="B6" s="82" t="n">
        <f aca="false">COUNTA(Data_Anomalies!$A$2:$A$81)</f>
        <v>80</v>
      </c>
      <c r="D6" s="63" t="s">
        <v>79</v>
      </c>
      <c r="E6" s="63" t="n">
        <f aca="false">COUNTIFS(Data_Anomalies!$C$2:$C$81,$D6,Data_Anomalies!$H$2:$H$81,"Price anomaly")</f>
        <v>10</v>
      </c>
      <c r="F6" s="63" t="n">
        <f aca="false">COUNTIFS(Data_Anomalies!$C$2:$C$81,$D6,Data_Anomalies!$H$2:$H$81,"Quantity anomaly")</f>
        <v>7</v>
      </c>
      <c r="G6" s="83" t="n">
        <f aca="false">SUMIFS(Data_Anomalies!$I$2:$I$81,Data_Anomalies!$C$2:$C$81,$D6,Data_Anomalies!$H$2:$H$81,"Price anomaly")/1000000</f>
        <v>0.82894887</v>
      </c>
      <c r="H6" s="83" t="n">
        <f aca="false">SUMIFS(Data_Anomalies!$I$2:$I$81,Data_Anomalies!$C$2:$C$81,$D6,Data_Anomalies!$H$2:$H$81,"Quantity anomaly")/1000000</f>
        <v>5.804863</v>
      </c>
    </row>
    <row r="7" customFormat="false" ht="15" hidden="false" customHeight="false" outlineLevel="0" collapsed="false">
      <c r="A7" s="63" t="s">
        <v>341</v>
      </c>
      <c r="B7" s="82" t="n">
        <f aca="false">SUM(Data_Anomalies!$I$2:$I$81)</f>
        <v>192406205.6</v>
      </c>
      <c r="D7" s="63" t="s">
        <v>77</v>
      </c>
      <c r="E7" s="63" t="n">
        <f aca="false">COUNTIFS(Data_Anomalies!$C$2:$C$81,$D7,Data_Anomalies!$H$2:$H$81,"Price anomaly")</f>
        <v>12</v>
      </c>
      <c r="F7" s="63" t="n">
        <f aca="false">COUNTIFS(Data_Anomalies!$C$2:$C$81,$D7,Data_Anomalies!$H$2:$H$81,"Quantity anomaly")</f>
        <v>5</v>
      </c>
      <c r="G7" s="83" t="n">
        <f aca="false">SUMIFS(Data_Anomalies!$I$2:$I$81,Data_Anomalies!$C$2:$C$81,$D7,Data_Anomalies!$H$2:$H$81,"Price anomaly")/1000000</f>
        <v>0.39413992</v>
      </c>
      <c r="H7" s="83" t="n">
        <f aca="false">SUMIFS(Data_Anomalies!$I$2:$I$81,Data_Anomalies!$C$2:$C$81,$D7,Data_Anomalies!$H$2:$H$81,"Quantity anomaly")/1000000</f>
        <v>1.333944</v>
      </c>
    </row>
    <row r="8" customFormat="false" ht="15" hidden="false" customHeight="false" outlineLevel="0" collapsed="false">
      <c r="A8" s="63" t="s">
        <v>342</v>
      </c>
      <c r="B8" s="84" t="n">
        <f aca="false">B7/B2</f>
        <v>0.0305620621002302</v>
      </c>
    </row>
    <row r="9" customFormat="false" ht="15" hidden="false" customHeight="false" outlineLevel="0" collapsed="false">
      <c r="A9" s="63" t="s">
        <v>343</v>
      </c>
      <c r="B9" s="82" t="n">
        <f aca="false">MAX(Data_Anomalies!$I$2:$I$81)</f>
        <v>38213365</v>
      </c>
    </row>
    <row r="10" customFormat="false" ht="15" hidden="false" customHeight="false" outlineLevel="0" collapsed="false">
      <c r="A10" s="63" t="s">
        <v>344</v>
      </c>
      <c r="B10" s="63" t="n">
        <f aca="false">MATCH(B9,Data_Anomalies!$I$2:$I$81,0)</f>
        <v>1</v>
      </c>
      <c r="D10" s="78" t="s">
        <v>345</v>
      </c>
      <c r="E10" s="85" t="s">
        <v>346</v>
      </c>
      <c r="G10" s="85" t="s">
        <v>347</v>
      </c>
    </row>
    <row r="11" customFormat="false" ht="15" hidden="false" customHeight="false" outlineLevel="0" collapsed="false">
      <c r="A11" s="63" t="s">
        <v>348</v>
      </c>
      <c r="B11" s="63" t="str">
        <f aca="false">INDEX(Data_Anomalies!$A$2:$A$81,B10)</f>
        <v>PO-817370</v>
      </c>
      <c r="D11" s="63" t="s">
        <v>28</v>
      </c>
      <c r="E11" s="63" t="str">
        <f aca="false">INDEX($D$2:$D$7,MATCH(MAX($E$2:$E$7),$E$2:$E$7,0))</f>
        <v>Logistics</v>
      </c>
      <c r="G11" s="63" t="str">
        <f aca="false">INDEX($D$2:$D$7,MATCH(MAX($G$2:$G$7),$G$2:$G$7,0))</f>
        <v>IT Hardware</v>
      </c>
    </row>
    <row r="12" customFormat="false" ht="15" hidden="false" customHeight="false" outlineLevel="0" collapsed="false">
      <c r="A12" s="63" t="s">
        <v>349</v>
      </c>
      <c r="B12" s="63" t="str">
        <f aca="false">INDEX(Data_Anomalies!$D$2:$D$81,B10)</f>
        <v>SUP-46</v>
      </c>
      <c r="D12" s="63" t="s">
        <v>29</v>
      </c>
      <c r="E12" s="63" t="str">
        <f aca="false">INDEX($D$2:$D$7,MATCH(MAX($F$2:$F$7),$F$2:$F$7,0))</f>
        <v>Raw Materials</v>
      </c>
      <c r="G12" s="63" t="str">
        <f aca="false">INDEX($D$2:$D$7,MATCH(MAX($H$2:$H$7),$H$2:$H$7,0))</f>
        <v>IT Hardware</v>
      </c>
    </row>
    <row r="13" customFormat="false" ht="15" hidden="false" customHeight="false" outlineLevel="0" collapsed="false">
      <c r="A13" s="63" t="s">
        <v>350</v>
      </c>
      <c r="B13" s="63" t="str">
        <f aca="false">INDEX(Data_Anomalies!$C$2:$C$81,B10)</f>
        <v>IT Hardware</v>
      </c>
      <c r="D13" s="63" t="s">
        <v>351</v>
      </c>
      <c r="E13" s="63" t="n">
        <f aca="false">SUM($E$2:$E$7)</f>
        <v>50</v>
      </c>
    </row>
    <row r="14" customFormat="false" ht="15" hidden="false" customHeight="false" outlineLevel="0" collapsed="false">
      <c r="A14" s="63" t="s">
        <v>352</v>
      </c>
      <c r="B14" s="63" t="str">
        <f aca="false">DAY(INDEX(Data_Anomalies!$B$2:$B$81,B10))&amp;"."&amp;IF(MONTH(INDEX(Data_Anomalies!$B$2:$B$81,B10))&lt;10,"0","")&amp;MONTH(INDEX(Data_Anomalies!$B$2:$B$81,B10))&amp;"."&amp;YEAR(INDEX(Data_Anomalies!$B$2:$B$81,B10))</f>
        <v>31.08.2024</v>
      </c>
      <c r="D14" s="63" t="s">
        <v>353</v>
      </c>
      <c r="E14" s="63" t="n">
        <f aca="false">SUM($F$2:$F$7)</f>
        <v>30</v>
      </c>
    </row>
    <row r="15" customFormat="false" ht="15" hidden="false" customHeight="false" outlineLevel="0" collapsed="false">
      <c r="A15" s="63" t="s">
        <v>354</v>
      </c>
      <c r="B15" s="86" t="n">
        <f aca="false">MAX(Data_Categories!$E$2:$E$7)</f>
        <v>0.635307759510762</v>
      </c>
    </row>
    <row r="16" customFormat="false" ht="15" hidden="false" customHeight="false" outlineLevel="0" collapsed="false">
      <c r="A16" s="63" t="s">
        <v>350</v>
      </c>
      <c r="B16" s="63" t="str">
        <f aca="false">INDEX(Data_Categories!$A$2:$A$7,MATCH(B15,Data_Categories!$E$2:$E$7,0))</f>
        <v>IT Hardware</v>
      </c>
    </row>
    <row r="17" customFormat="false" ht="15" hidden="false" customHeight="false" outlineLevel="0" collapsed="false">
      <c r="A17" s="63" t="s">
        <v>355</v>
      </c>
      <c r="B17" s="87" t="n">
        <f aca="false">MAX(Data_Categories!$F$2:$F$7)</f>
        <v>0.0691259103332369</v>
      </c>
    </row>
    <row r="18" customFormat="false" ht="15" hidden="false" customHeight="false" outlineLevel="0" collapsed="false">
      <c r="A18" s="63" t="s">
        <v>350</v>
      </c>
      <c r="B18" s="63" t="str">
        <f aca="false">INDEX(Data_Categories!$A$2:$A$7,MATCH(B17,Data_Categories!$F$2:$F$7,0))</f>
        <v>Marketing Services</v>
      </c>
    </row>
    <row r="19" customFormat="false" ht="15" hidden="false" customHeight="false" outlineLevel="0" collapsed="false">
      <c r="A19" s="63" t="s">
        <v>356</v>
      </c>
      <c r="B19" s="88" t="n">
        <f aca="false">INDEX(Data_Categories!$H$2:$H$7,MATCH(B17,Data_Categories!$F$2:$F$7,0))</f>
        <v>20.10255</v>
      </c>
    </row>
    <row r="20" customFormat="false" ht="15" hidden="false" customHeight="false" outlineLevel="0" collapsed="false">
      <c r="A20" s="63" t="s">
        <v>357</v>
      </c>
      <c r="B20" s="82" t="n">
        <f aca="false">COUNTIF(Data_Suppliers!$I$2:$I$51,"&lt;"&amp;Parameters!$B$9)+1</f>
        <v>40</v>
      </c>
    </row>
    <row r="21" customFormat="false" ht="15" hidden="false" customHeight="false" outlineLevel="0" collapsed="false">
      <c r="A21" s="63" t="s">
        <v>358</v>
      </c>
      <c r="B21" s="86" t="n">
        <f aca="false">SUMPRODUCT(LARGE(Data_Suppliers!$B$2:$B$51,{1,2,3,4,5}))/B2</f>
        <v>0.123709488877461</v>
      </c>
    </row>
    <row r="22" customFormat="false" ht="15" hidden="false" customHeight="false" outlineLevel="0" collapsed="false">
      <c r="A22" s="63" t="s">
        <v>359</v>
      </c>
      <c r="B22" s="82" t="n">
        <f aca="false">COUNTIF(Data_Suppliers!$F$2:$F$51,"&gt;0")</f>
        <v>38</v>
      </c>
    </row>
    <row r="23" customFormat="false" ht="15" hidden="false" customHeight="false" outlineLevel="0" collapsed="false">
      <c r="A23" s="63" t="s">
        <v>360</v>
      </c>
      <c r="B23" s="82" t="n">
        <f aca="false">MAX(Data_Suppliers!$F$2:$F$51)</f>
        <v>6</v>
      </c>
    </row>
    <row r="24" customFormat="false" ht="15" hidden="false" customHeight="false" outlineLevel="0" collapsed="false">
      <c r="A24" s="63" t="s">
        <v>349</v>
      </c>
      <c r="B24" s="63" t="str">
        <f aca="false">INDEX(Data_Suppliers!$A$2:$A$51,MATCH(B23,Data_Suppliers!$F$2:$F$51,0))</f>
        <v>SUP-12</v>
      </c>
    </row>
    <row r="25" customFormat="false" ht="15" hidden="false" customHeight="false" outlineLevel="0" collapsed="false">
      <c r="A25" s="63" t="s">
        <v>361</v>
      </c>
      <c r="B25" s="82" t="n">
        <f aca="false">INDEX(Data_Suppliers!$G$2:$G$51,MATCH(B23,Data_Suppliers!$F$2:$F$51,0))</f>
        <v>29146079.22</v>
      </c>
    </row>
    <row r="26" customFormat="false" ht="15" hidden="false" customHeight="false" outlineLevel="0" collapsed="false">
      <c r="A26" s="63" t="s">
        <v>362</v>
      </c>
      <c r="B26" s="82" t="n">
        <f aca="false">SUM(Data_Outliers!$B$2:$B7)</f>
        <v>304</v>
      </c>
    </row>
    <row r="27" customFormat="false" ht="15" hidden="false" customHeight="false" outlineLevel="0" collapsed="false">
      <c r="A27" s="63" t="s">
        <v>363</v>
      </c>
      <c r="B27" s="83" t="n">
        <f aca="false">SUM(Data_Outliers!$C$2:$C7)</f>
        <v>63.89</v>
      </c>
    </row>
    <row r="28" customFormat="false" ht="15" hidden="false" customHeight="false" outlineLevel="0" collapsed="false">
      <c r="A28" s="63" t="s">
        <v>364</v>
      </c>
      <c r="B28" s="63" t="str">
        <f aca="false">INDEX(Data_Outliers!$A$2:$A7,MATCH(MAX(Data_Outliers!$C$2:$C7),Data_Outliers!$C$2:$C7,0))</f>
        <v>IT Hardware</v>
      </c>
    </row>
    <row r="29" customFormat="false" ht="15" hidden="false" customHeight="false" outlineLevel="0" collapsed="false">
      <c r="A29" s="63" t="s">
        <v>365</v>
      </c>
      <c r="B29" s="82" t="n">
        <f aca="false">INDEX(Data_Outliers!$B$2:$B7,MATCH(MAX(Data_Outliers!$C$2:$C7),Data_Outliers!$C$2:$C7,0))</f>
        <v>76</v>
      </c>
    </row>
    <row r="30" customFormat="false" ht="15" hidden="false" customHeight="false" outlineLevel="0" collapsed="false">
      <c r="A30" s="63" t="s">
        <v>366</v>
      </c>
      <c r="B30" s="83" t="n">
        <f aca="false">MAX(Data_Outliers!$C$2:$C7)</f>
        <v>40.47</v>
      </c>
    </row>
    <row r="31" customFormat="false" ht="15" hidden="false" customHeight="false" outlineLevel="0" collapsed="false">
      <c r="A31" s="63" t="s">
        <v>367</v>
      </c>
      <c r="B31" s="82" t="n">
        <f aca="false">INDEX(Data_Outliers!$D$2:$D7,MATCH(MAX(Data_Outliers!$C$2:$C7),Data_Outliers!$C$2:$C7,0))</f>
        <v>7213</v>
      </c>
    </row>
    <row r="32" customFormat="false" ht="15" hidden="false" customHeight="false" outlineLevel="0" collapsed="false">
      <c r="A32" s="63" t="s">
        <v>368</v>
      </c>
      <c r="B32" s="82" t="n">
        <f aca="false">Data_Outliers!$B$13</f>
        <v>2177</v>
      </c>
    </row>
    <row r="33" customFormat="false" ht="15" hidden="false" customHeight="false" outlineLevel="0" collapsed="false">
      <c r="A33" s="63" t="s">
        <v>369</v>
      </c>
      <c r="B33" s="88" t="n">
        <f aca="false">Data_Outliers!$B$14</f>
        <v>284.9</v>
      </c>
    </row>
    <row r="34" customFormat="false" ht="15" hidden="false" customHeight="false" outlineLevel="0" collapsed="false">
      <c r="A34" s="63" t="s">
        <v>370</v>
      </c>
      <c r="B34" s="63" t="str">
        <f aca="false">INDEX(Data_Buyers!$A$2:$A$11,MATCH(LARGE(Data_Buyers!$F$2:$F$11,1),Data_Buyers!$F$2:$F$11,0))</f>
        <v>BUYER-06</v>
      </c>
    </row>
    <row r="35" customFormat="false" ht="15" hidden="false" customHeight="false" outlineLevel="0" collapsed="false">
      <c r="A35" s="63" t="s">
        <v>371</v>
      </c>
      <c r="B35" s="63" t="str">
        <f aca="false">INDEX(Data_Buyers!$A$2:$A$11,MATCH(LARGE(Data_Buyers!$F$2:$F$11,2),Data_Buyers!$F$2:$F$11,0))</f>
        <v>BUYER-02</v>
      </c>
    </row>
    <row r="36" customFormat="false" ht="15" hidden="false" customHeight="false" outlineLevel="0" collapsed="false">
      <c r="A36" s="63" t="s">
        <v>372</v>
      </c>
      <c r="B36" s="82" t="n">
        <f aca="false">LARGE(Data_Buyers!$F$2:$F$11,1)+LARGE(Data_Buyers!$F$2:$F$11,2)</f>
        <v>86377480.51</v>
      </c>
    </row>
    <row r="37" customFormat="false" ht="15" hidden="false" customHeight="false" outlineLevel="0" collapsed="false">
      <c r="A37" s="63" t="s">
        <v>373</v>
      </c>
      <c r="B37" s="82" t="n">
        <f aca="false">INDEX(Data_Buyers!$E$2:$E$11,MATCH(B34,Data_Buyers!$A$2:$A$11,0))</f>
        <v>8</v>
      </c>
    </row>
    <row r="38" customFormat="false" ht="15" hidden="false" customHeight="false" outlineLevel="0" collapsed="false">
      <c r="A38" s="63" t="s">
        <v>374</v>
      </c>
      <c r="B38" s="82" t="n">
        <f aca="false">INDEX(Data_Buyers!$E$2:$E$11,MATCH(B35,Data_Buyers!$A$2:$A$11,0))</f>
        <v>8</v>
      </c>
    </row>
    <row r="39" customFormat="false" ht="15" hidden="false" customHeight="false" outlineLevel="0" collapsed="false">
      <c r="A39" s="63" t="s">
        <v>375</v>
      </c>
      <c r="B39" s="88" t="n">
        <f aca="false">SUM(Data_Categories!$D$2:$D$7)</f>
        <v>6295.5</v>
      </c>
    </row>
    <row r="40" customFormat="false" ht="15" hidden="false" customHeight="false" outlineLevel="0" collapsed="false">
      <c r="A40" s="63" t="s">
        <v>376</v>
      </c>
      <c r="B40" s="88" t="n">
        <f aca="false">SUM(Data_Months!$B$2:$C$13)</f>
        <v>6295.2</v>
      </c>
    </row>
    <row r="41" customFormat="false" ht="15" hidden="false" customHeight="false" outlineLevel="0" collapsed="false">
      <c r="A41" s="63" t="s">
        <v>377</v>
      </c>
      <c r="B41" s="88" t="n">
        <f aca="false">B2/1000000</f>
        <v>6295.589773</v>
      </c>
    </row>
    <row r="42" customFormat="false" ht="15" hidden="false" customHeight="false" outlineLevel="0" collapsed="false">
      <c r="A42" s="63" t="s">
        <v>378</v>
      </c>
      <c r="B42" s="63" t="str">
        <f aca="false">IF(AND(ABS(B39-B41)&lt;1,ABS(B40-B41)&lt;1),"OK","CHECK DATA")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2026-10-06T10:53:39Z</dcterms:created>
  <dc:creator>Paweł Liberacki</dc:creator>
  <dc:description/>
  <dc:language>en-US</dc:language>
  <cp:lastModifiedBy/>
  <dcterms:modified xsi:type="dcterms:W3CDTF">2026-10-06T10:53:43Z</dcterms:modified>
  <cp:revision>1</cp:revision>
  <dc:subject/>
  <dc:title>Procurement Intelligence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