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1\Desktop\Projekty\"/>
    </mc:Choice>
  </mc:AlternateContent>
  <xr:revisionPtr revIDLastSave="0" documentId="8_{EB648AD7-F4BF-4EE6-84BB-72D9D7765D04}" xr6:coauthVersionLast="47" xr6:coauthVersionMax="47" xr10:uidLastSave="{00000000-0000-0000-0000-000000000000}"/>
  <bookViews>
    <workbookView xWindow="-120" yWindow="-120" windowWidth="51840" windowHeight="21240" tabRatio="500" xr2:uid="{00000000-000D-0000-FFFF-FFFF00000000}"/>
  </bookViews>
  <sheets>
    <sheet name="Dashboard" sheetId="1" r:id="rId1"/>
    <sheet name="Methodology" sheetId="2" r:id="rId2"/>
    <sheet name="Parameters" sheetId="3" r:id="rId3"/>
    <sheet name="Data_Anomalies" sheetId="4" r:id="rId4"/>
    <sheet name="Data_Suppliers" sheetId="5" r:id="rId5"/>
    <sheet name="Data_Buyers" sheetId="6" r:id="rId6"/>
    <sheet name="Data_Categories" sheetId="7" r:id="rId7"/>
    <sheet name="Data_Months" sheetId="8" r:id="rId8"/>
    <sheet name="Data_Outliers" sheetId="9" r:id="rId9"/>
    <sheet name="Calculations" sheetId="10" r:id="rId10"/>
  </sheets>
  <definedNames>
    <definedName name="_xlnm.Print_Area" localSheetId="0">Dashboard!$A$1:$S$94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0" i="10" l="1"/>
  <c r="B33" i="10"/>
  <c r="B32" i="10"/>
  <c r="B31" i="10"/>
  <c r="B30" i="10"/>
  <c r="B29" i="10"/>
  <c r="B28" i="10"/>
  <c r="B27" i="10"/>
  <c r="B26" i="10"/>
  <c r="F7" i="10"/>
  <c r="E7" i="10"/>
  <c r="F6" i="10"/>
  <c r="E6" i="10"/>
  <c r="B6" i="10"/>
  <c r="F5" i="10"/>
  <c r="E5" i="10"/>
  <c r="B5" i="10"/>
  <c r="F4" i="10"/>
  <c r="E4" i="10"/>
  <c r="B4" i="10"/>
  <c r="F3" i="10"/>
  <c r="E3" i="10"/>
  <c r="E11" i="10" s="1"/>
  <c r="L17" i="1" s="1"/>
  <c r="B3" i="10"/>
  <c r="F2" i="10"/>
  <c r="E12" i="10" s="1"/>
  <c r="L18" i="1" s="1"/>
  <c r="E2" i="10"/>
  <c r="E13" i="10" s="1"/>
  <c r="B2" i="10"/>
  <c r="B41" i="10" s="1"/>
  <c r="E7" i="9"/>
  <c r="E6" i="9"/>
  <c r="E5" i="9"/>
  <c r="E4" i="9"/>
  <c r="E3" i="9"/>
  <c r="E2" i="9"/>
  <c r="E13" i="8"/>
  <c r="D13" i="8"/>
  <c r="E38" i="1" s="1"/>
  <c r="E12" i="8"/>
  <c r="D12" i="8"/>
  <c r="E11" i="8"/>
  <c r="D11" i="8"/>
  <c r="E10" i="8"/>
  <c r="D10" i="8"/>
  <c r="E9" i="8"/>
  <c r="D9" i="8"/>
  <c r="E8" i="8"/>
  <c r="F33" i="1" s="1"/>
  <c r="D8" i="8"/>
  <c r="E7" i="8"/>
  <c r="D7" i="8"/>
  <c r="E6" i="8"/>
  <c r="D6" i="8"/>
  <c r="E5" i="8"/>
  <c r="D5" i="8"/>
  <c r="E4" i="8"/>
  <c r="D4" i="8"/>
  <c r="E3" i="8"/>
  <c r="D3" i="8"/>
  <c r="E2" i="8"/>
  <c r="D2" i="8"/>
  <c r="H7" i="7"/>
  <c r="G7" i="7"/>
  <c r="F7" i="7"/>
  <c r="D7" i="7"/>
  <c r="E7" i="7" s="1"/>
  <c r="H6" i="7"/>
  <c r="G6" i="7"/>
  <c r="F6" i="7"/>
  <c r="D6" i="7"/>
  <c r="E6" i="7" s="1"/>
  <c r="D21" i="1" s="1"/>
  <c r="H5" i="7"/>
  <c r="G5" i="7"/>
  <c r="F5" i="7"/>
  <c r="D5" i="7"/>
  <c r="H4" i="7"/>
  <c r="G4" i="7"/>
  <c r="F4" i="7"/>
  <c r="E4" i="7"/>
  <c r="D4" i="7"/>
  <c r="H3" i="7"/>
  <c r="G3" i="7"/>
  <c r="F3" i="7"/>
  <c r="D3" i="7"/>
  <c r="E3" i="7" s="1"/>
  <c r="D18" i="1" s="1"/>
  <c r="H2" i="7"/>
  <c r="G2" i="7"/>
  <c r="F2" i="7"/>
  <c r="B17" i="10" s="1"/>
  <c r="D2" i="7"/>
  <c r="E2" i="7" s="1"/>
  <c r="H11" i="6"/>
  <c r="E11" i="6"/>
  <c r="D11" i="6"/>
  <c r="E10" i="6"/>
  <c r="H10" i="6" s="1"/>
  <c r="D10" i="6"/>
  <c r="H9" i="6"/>
  <c r="E9" i="6"/>
  <c r="D9" i="6"/>
  <c r="H8" i="6"/>
  <c r="E8" i="6"/>
  <c r="D8" i="6"/>
  <c r="H7" i="6"/>
  <c r="E7" i="6"/>
  <c r="D7" i="6"/>
  <c r="H6" i="6"/>
  <c r="E6" i="6"/>
  <c r="D6" i="6"/>
  <c r="E5" i="6"/>
  <c r="H5" i="6" s="1"/>
  <c r="D5" i="6"/>
  <c r="E4" i="6"/>
  <c r="H4" i="6" s="1"/>
  <c r="D4" i="6"/>
  <c r="E3" i="6"/>
  <c r="H3" i="6" s="1"/>
  <c r="D3" i="6"/>
  <c r="H2" i="6"/>
  <c r="E2" i="6"/>
  <c r="D2" i="6"/>
  <c r="N51" i="5"/>
  <c r="M51" i="5"/>
  <c r="L51" i="5"/>
  <c r="K51" i="5"/>
  <c r="J51" i="5"/>
  <c r="I51" i="5"/>
  <c r="H51" i="5"/>
  <c r="F51" i="5"/>
  <c r="E51" i="5"/>
  <c r="D51" i="5"/>
  <c r="O50" i="5"/>
  <c r="N50" i="5"/>
  <c r="M50" i="5"/>
  <c r="L50" i="5"/>
  <c r="K50" i="5"/>
  <c r="J50" i="5"/>
  <c r="I50" i="5"/>
  <c r="H50" i="5"/>
  <c r="G50" i="5"/>
  <c r="P50" i="5" s="1"/>
  <c r="F50" i="5"/>
  <c r="E50" i="5"/>
  <c r="D50" i="5"/>
  <c r="O49" i="5"/>
  <c r="N49" i="5"/>
  <c r="L49" i="5"/>
  <c r="K49" i="5"/>
  <c r="J49" i="5"/>
  <c r="I49" i="5"/>
  <c r="H49" i="5"/>
  <c r="F49" i="5"/>
  <c r="E49" i="5"/>
  <c r="D49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N47" i="5"/>
  <c r="M47" i="5"/>
  <c r="L47" i="5"/>
  <c r="J47" i="5"/>
  <c r="I47" i="5"/>
  <c r="F47" i="5"/>
  <c r="H47" i="5" s="1"/>
  <c r="E47" i="5"/>
  <c r="D47" i="5"/>
  <c r="O46" i="5"/>
  <c r="N46" i="5"/>
  <c r="L46" i="5"/>
  <c r="K46" i="5"/>
  <c r="J46" i="5"/>
  <c r="I46" i="5"/>
  <c r="H46" i="5"/>
  <c r="F46" i="5"/>
  <c r="E46" i="5"/>
  <c r="D46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N44" i="5"/>
  <c r="M44" i="5"/>
  <c r="L44" i="5"/>
  <c r="J44" i="5"/>
  <c r="I44" i="5"/>
  <c r="F44" i="5"/>
  <c r="H44" i="5" s="1"/>
  <c r="E44" i="5"/>
  <c r="D44" i="5"/>
  <c r="O43" i="5"/>
  <c r="N43" i="5"/>
  <c r="M43" i="5"/>
  <c r="L43" i="5"/>
  <c r="K43" i="5"/>
  <c r="I43" i="5"/>
  <c r="F43" i="5"/>
  <c r="H43" i="5" s="1"/>
  <c r="E43" i="5"/>
  <c r="D43" i="5"/>
  <c r="O42" i="5"/>
  <c r="M42" i="5"/>
  <c r="L42" i="5"/>
  <c r="K42" i="5"/>
  <c r="I42" i="5"/>
  <c r="H42" i="5"/>
  <c r="F42" i="5"/>
  <c r="E42" i="5"/>
  <c r="D42" i="5"/>
  <c r="N41" i="5"/>
  <c r="L41" i="5"/>
  <c r="K41" i="5"/>
  <c r="J41" i="5"/>
  <c r="I41" i="5"/>
  <c r="F41" i="5"/>
  <c r="H41" i="5" s="1"/>
  <c r="E41" i="5"/>
  <c r="D41" i="5"/>
  <c r="O40" i="5"/>
  <c r="N40" i="5"/>
  <c r="M40" i="5"/>
  <c r="L40" i="5"/>
  <c r="K40" i="5"/>
  <c r="J40" i="5"/>
  <c r="I40" i="5"/>
  <c r="G40" i="5"/>
  <c r="P40" i="5" s="1"/>
  <c r="F40" i="5"/>
  <c r="H40" i="5" s="1"/>
  <c r="E40" i="5"/>
  <c r="D40" i="5"/>
  <c r="O39" i="5"/>
  <c r="M39" i="5"/>
  <c r="L39" i="5"/>
  <c r="K39" i="5"/>
  <c r="J39" i="5"/>
  <c r="I39" i="5"/>
  <c r="F39" i="5"/>
  <c r="H39" i="5" s="1"/>
  <c r="E39" i="5"/>
  <c r="D39" i="5"/>
  <c r="N38" i="5"/>
  <c r="M38" i="5"/>
  <c r="L38" i="5"/>
  <c r="K38" i="5"/>
  <c r="J38" i="5"/>
  <c r="I38" i="5"/>
  <c r="F38" i="5"/>
  <c r="H38" i="5" s="1"/>
  <c r="E38" i="5"/>
  <c r="D38" i="5"/>
  <c r="O37" i="5"/>
  <c r="M37" i="5"/>
  <c r="L37" i="5"/>
  <c r="K37" i="5"/>
  <c r="J37" i="5"/>
  <c r="I37" i="5"/>
  <c r="H37" i="5"/>
  <c r="F37" i="5"/>
  <c r="E37" i="5"/>
  <c r="D37" i="5"/>
  <c r="O36" i="5"/>
  <c r="N36" i="5"/>
  <c r="M36" i="5"/>
  <c r="L36" i="5"/>
  <c r="K36" i="5"/>
  <c r="J36" i="5"/>
  <c r="I36" i="5"/>
  <c r="G36" i="5"/>
  <c r="P36" i="5" s="1"/>
  <c r="F36" i="5"/>
  <c r="H36" i="5" s="1"/>
  <c r="E36" i="5"/>
  <c r="D36" i="5"/>
  <c r="O35" i="5"/>
  <c r="N35" i="5"/>
  <c r="L35" i="5"/>
  <c r="K35" i="5"/>
  <c r="J35" i="5"/>
  <c r="I35" i="5"/>
  <c r="H35" i="5"/>
  <c r="F35" i="5"/>
  <c r="E35" i="5"/>
  <c r="D35" i="5"/>
  <c r="O34" i="5"/>
  <c r="N34" i="5"/>
  <c r="M34" i="5"/>
  <c r="L34" i="5"/>
  <c r="K34" i="5"/>
  <c r="J34" i="5"/>
  <c r="I34" i="5"/>
  <c r="H34" i="5"/>
  <c r="G34" i="5"/>
  <c r="P34" i="5" s="1"/>
  <c r="F34" i="5"/>
  <c r="E34" i="5"/>
  <c r="D34" i="5"/>
  <c r="O33" i="5"/>
  <c r="N33" i="5"/>
  <c r="L33" i="5"/>
  <c r="K33" i="5"/>
  <c r="I33" i="5"/>
  <c r="H33" i="5"/>
  <c r="F33" i="5"/>
  <c r="E33" i="5"/>
  <c r="D33" i="5"/>
  <c r="O32" i="5"/>
  <c r="N32" i="5"/>
  <c r="M32" i="5"/>
  <c r="K32" i="5"/>
  <c r="J32" i="5"/>
  <c r="I32" i="5"/>
  <c r="H32" i="5"/>
  <c r="F32" i="5"/>
  <c r="E32" i="5"/>
  <c r="D32" i="5"/>
  <c r="N31" i="5"/>
  <c r="M31" i="5"/>
  <c r="L31" i="5"/>
  <c r="K31" i="5"/>
  <c r="J31" i="5"/>
  <c r="I31" i="5"/>
  <c r="F31" i="5"/>
  <c r="H31" i="5" s="1"/>
  <c r="E31" i="5"/>
  <c r="D31" i="5"/>
  <c r="O30" i="5"/>
  <c r="M30" i="5"/>
  <c r="L30" i="5"/>
  <c r="K30" i="5"/>
  <c r="J30" i="5"/>
  <c r="I30" i="5"/>
  <c r="H30" i="5"/>
  <c r="F30" i="5"/>
  <c r="E30" i="5"/>
  <c r="D30" i="5"/>
  <c r="M29" i="5"/>
  <c r="L29" i="5"/>
  <c r="K29" i="5"/>
  <c r="J29" i="5"/>
  <c r="I29" i="5"/>
  <c r="H29" i="5"/>
  <c r="F29" i="5"/>
  <c r="E29" i="5"/>
  <c r="D29" i="5"/>
  <c r="O28" i="5"/>
  <c r="L28" i="5"/>
  <c r="J28" i="5"/>
  <c r="I28" i="5"/>
  <c r="F28" i="5"/>
  <c r="H28" i="5" s="1"/>
  <c r="E28" i="5"/>
  <c r="D28" i="5"/>
  <c r="O27" i="5"/>
  <c r="N27" i="5"/>
  <c r="L27" i="5"/>
  <c r="K27" i="5"/>
  <c r="J27" i="5"/>
  <c r="I27" i="5"/>
  <c r="F27" i="5"/>
  <c r="H27" i="5" s="1"/>
  <c r="E27" i="5"/>
  <c r="D27" i="5"/>
  <c r="O26" i="5"/>
  <c r="N26" i="5"/>
  <c r="M26" i="5"/>
  <c r="L26" i="5"/>
  <c r="K26" i="5"/>
  <c r="J26" i="5"/>
  <c r="I26" i="5"/>
  <c r="H26" i="5"/>
  <c r="G26" i="5"/>
  <c r="P26" i="5" s="1"/>
  <c r="F26" i="5"/>
  <c r="E26" i="5"/>
  <c r="D26" i="5"/>
  <c r="P25" i="5"/>
  <c r="O25" i="5"/>
  <c r="N25" i="5"/>
  <c r="M25" i="5"/>
  <c r="L25" i="5"/>
  <c r="K25" i="5"/>
  <c r="J25" i="5"/>
  <c r="I25" i="5"/>
  <c r="G25" i="5"/>
  <c r="F25" i="5"/>
  <c r="H25" i="5" s="1"/>
  <c r="E25" i="5"/>
  <c r="D25" i="5"/>
  <c r="N24" i="5"/>
  <c r="M24" i="5"/>
  <c r="K24" i="5"/>
  <c r="J24" i="5"/>
  <c r="I24" i="5"/>
  <c r="G24" i="5"/>
  <c r="P24" i="5" s="1"/>
  <c r="F24" i="5"/>
  <c r="H24" i="5" s="1"/>
  <c r="E24" i="5"/>
  <c r="D24" i="5"/>
  <c r="O23" i="5"/>
  <c r="N23" i="5"/>
  <c r="L23" i="5"/>
  <c r="K23" i="5"/>
  <c r="J23" i="5"/>
  <c r="I23" i="5"/>
  <c r="F23" i="5"/>
  <c r="H23" i="5" s="1"/>
  <c r="E23" i="5"/>
  <c r="D23" i="5"/>
  <c r="O22" i="5"/>
  <c r="N22" i="5"/>
  <c r="M22" i="5"/>
  <c r="L22" i="5"/>
  <c r="K22" i="5"/>
  <c r="J22" i="5"/>
  <c r="I22" i="5"/>
  <c r="G22" i="5"/>
  <c r="P22" i="5" s="1"/>
  <c r="F22" i="5"/>
  <c r="H22" i="5" s="1"/>
  <c r="E22" i="5"/>
  <c r="D22" i="5"/>
  <c r="N21" i="5"/>
  <c r="M21" i="5"/>
  <c r="L21" i="5"/>
  <c r="K21" i="5"/>
  <c r="J21" i="5"/>
  <c r="I21" i="5"/>
  <c r="H21" i="5"/>
  <c r="F21" i="5"/>
  <c r="E21" i="5"/>
  <c r="D21" i="5"/>
  <c r="O20" i="5"/>
  <c r="N20" i="5"/>
  <c r="M20" i="5"/>
  <c r="L20" i="5"/>
  <c r="K20" i="5"/>
  <c r="J20" i="5"/>
  <c r="I20" i="5"/>
  <c r="F20" i="5"/>
  <c r="H20" i="5" s="1"/>
  <c r="E20" i="5"/>
  <c r="D20" i="5"/>
  <c r="O19" i="5"/>
  <c r="N19" i="5"/>
  <c r="M19" i="5"/>
  <c r="L19" i="5"/>
  <c r="K19" i="5"/>
  <c r="J19" i="5"/>
  <c r="I19" i="5"/>
  <c r="H19" i="5"/>
  <c r="G19" i="5"/>
  <c r="P19" i="5" s="1"/>
  <c r="F19" i="5"/>
  <c r="E19" i="5"/>
  <c r="D19" i="5"/>
  <c r="O18" i="5"/>
  <c r="N18" i="5"/>
  <c r="L18" i="5"/>
  <c r="J18" i="5"/>
  <c r="I18" i="5"/>
  <c r="H18" i="5"/>
  <c r="F18" i="5"/>
  <c r="E18" i="5"/>
  <c r="D18" i="5"/>
  <c r="O17" i="5"/>
  <c r="N17" i="5"/>
  <c r="M17" i="5"/>
  <c r="L17" i="5"/>
  <c r="K17" i="5"/>
  <c r="J17" i="5"/>
  <c r="I17" i="5"/>
  <c r="H17" i="5"/>
  <c r="F17" i="5"/>
  <c r="E17" i="5"/>
  <c r="D17" i="5"/>
  <c r="O16" i="5"/>
  <c r="N16" i="5"/>
  <c r="M16" i="5"/>
  <c r="L16" i="5"/>
  <c r="J16" i="5"/>
  <c r="I16" i="5"/>
  <c r="H16" i="5"/>
  <c r="F16" i="5"/>
  <c r="E16" i="5"/>
  <c r="P31" i="1" s="1"/>
  <c r="D16" i="5"/>
  <c r="N15" i="5"/>
  <c r="L15" i="5"/>
  <c r="K15" i="5"/>
  <c r="J15" i="5"/>
  <c r="I15" i="5"/>
  <c r="F15" i="5"/>
  <c r="H15" i="5" s="1"/>
  <c r="E15" i="5"/>
  <c r="D15" i="5"/>
  <c r="O14" i="5"/>
  <c r="N14" i="5"/>
  <c r="M14" i="5"/>
  <c r="L14" i="5"/>
  <c r="K14" i="5"/>
  <c r="J14" i="5"/>
  <c r="I14" i="5"/>
  <c r="H14" i="5"/>
  <c r="F14" i="5"/>
  <c r="R29" i="1" s="1"/>
  <c r="E14" i="5"/>
  <c r="P29" i="1" s="1"/>
  <c r="D14" i="5"/>
  <c r="O13" i="5"/>
  <c r="L13" i="5"/>
  <c r="J13" i="5"/>
  <c r="I13" i="5"/>
  <c r="H13" i="5"/>
  <c r="F13" i="5"/>
  <c r="E13" i="5"/>
  <c r="P28" i="1" s="1"/>
  <c r="D13" i="5"/>
  <c r="O12" i="5"/>
  <c r="N12" i="5"/>
  <c r="M12" i="5"/>
  <c r="L12" i="5"/>
  <c r="K12" i="5"/>
  <c r="J12" i="5"/>
  <c r="I12" i="5"/>
  <c r="G12" i="5"/>
  <c r="P12" i="5" s="1"/>
  <c r="F12" i="5"/>
  <c r="H12" i="5" s="1"/>
  <c r="E12" i="5"/>
  <c r="P27" i="1" s="1"/>
  <c r="D12" i="5"/>
  <c r="O11" i="5"/>
  <c r="N11" i="5"/>
  <c r="L11" i="5"/>
  <c r="K11" i="5"/>
  <c r="J11" i="5"/>
  <c r="I11" i="5"/>
  <c r="F11" i="5"/>
  <c r="H11" i="5" s="1"/>
  <c r="E11" i="5"/>
  <c r="D11" i="5"/>
  <c r="O10" i="5"/>
  <c r="N10" i="5"/>
  <c r="M10" i="5"/>
  <c r="L10" i="5"/>
  <c r="K10" i="5"/>
  <c r="J10" i="5"/>
  <c r="I10" i="5"/>
  <c r="H10" i="5"/>
  <c r="G10" i="5"/>
  <c r="P10" i="5" s="1"/>
  <c r="F10" i="5"/>
  <c r="E10" i="5"/>
  <c r="D10" i="5"/>
  <c r="N9" i="5"/>
  <c r="M9" i="5"/>
  <c r="L9" i="5"/>
  <c r="J9" i="5"/>
  <c r="I9" i="5"/>
  <c r="F9" i="5"/>
  <c r="H9" i="5" s="1"/>
  <c r="E9" i="5"/>
  <c r="P24" i="1" s="1"/>
  <c r="D9" i="5"/>
  <c r="N8" i="5"/>
  <c r="M8" i="5"/>
  <c r="L8" i="5"/>
  <c r="K8" i="5"/>
  <c r="J8" i="5"/>
  <c r="I8" i="5"/>
  <c r="F8" i="5"/>
  <c r="H8" i="5" s="1"/>
  <c r="E8" i="5"/>
  <c r="D8" i="5"/>
  <c r="O7" i="5"/>
  <c r="N7" i="5"/>
  <c r="L7" i="5"/>
  <c r="K7" i="5"/>
  <c r="J7" i="5"/>
  <c r="I7" i="5"/>
  <c r="F7" i="5"/>
  <c r="H7" i="5" s="1"/>
  <c r="E7" i="5"/>
  <c r="D7" i="5"/>
  <c r="P6" i="5"/>
  <c r="O6" i="5"/>
  <c r="N6" i="5"/>
  <c r="M6" i="5"/>
  <c r="L6" i="5"/>
  <c r="K6" i="5"/>
  <c r="J6" i="5"/>
  <c r="I6" i="5"/>
  <c r="G6" i="5"/>
  <c r="F6" i="5"/>
  <c r="H6" i="5" s="1"/>
  <c r="E6" i="5"/>
  <c r="P21" i="1" s="1"/>
  <c r="D6" i="5"/>
  <c r="O5" i="5"/>
  <c r="N5" i="5"/>
  <c r="M5" i="5"/>
  <c r="K5" i="5"/>
  <c r="I5" i="5"/>
  <c r="H5" i="5"/>
  <c r="F5" i="5"/>
  <c r="E5" i="5"/>
  <c r="D5" i="5"/>
  <c r="O4" i="5"/>
  <c r="N4" i="5"/>
  <c r="M4" i="5"/>
  <c r="L4" i="5"/>
  <c r="K4" i="5"/>
  <c r="J4" i="5"/>
  <c r="I4" i="5"/>
  <c r="F4" i="5"/>
  <c r="H4" i="5" s="1"/>
  <c r="E4" i="5"/>
  <c r="D4" i="5"/>
  <c r="N3" i="5"/>
  <c r="M3" i="5"/>
  <c r="L3" i="5"/>
  <c r="K3" i="5"/>
  <c r="I3" i="5"/>
  <c r="H3" i="5"/>
  <c r="G3" i="5"/>
  <c r="F3" i="5"/>
  <c r="E3" i="5"/>
  <c r="D3" i="5"/>
  <c r="O2" i="5"/>
  <c r="N2" i="5"/>
  <c r="M2" i="5"/>
  <c r="L2" i="5"/>
  <c r="K2" i="5"/>
  <c r="J2" i="5"/>
  <c r="I2" i="5"/>
  <c r="B20" i="10" s="1"/>
  <c r="H2" i="5"/>
  <c r="G2" i="5"/>
  <c r="F2" i="5"/>
  <c r="B23" i="10" s="1"/>
  <c r="E2" i="5"/>
  <c r="D2" i="5"/>
  <c r="I81" i="4"/>
  <c r="I80" i="4"/>
  <c r="O3" i="5" s="1"/>
  <c r="I79" i="4"/>
  <c r="I78" i="4"/>
  <c r="M27" i="5" s="1"/>
  <c r="I77" i="4"/>
  <c r="N39" i="5" s="1"/>
  <c r="I76" i="4"/>
  <c r="G31" i="5" s="1"/>
  <c r="I75" i="4"/>
  <c r="O24" i="5" s="1"/>
  <c r="I74" i="4"/>
  <c r="O41" i="5" s="1"/>
  <c r="I73" i="4"/>
  <c r="I72" i="4"/>
  <c r="I71" i="4"/>
  <c r="N30" i="5" s="1"/>
  <c r="I70" i="4"/>
  <c r="I69" i="4"/>
  <c r="O44" i="5" s="1"/>
  <c r="I68" i="4"/>
  <c r="I67" i="4"/>
  <c r="O29" i="5" s="1"/>
  <c r="I66" i="4"/>
  <c r="O15" i="5" s="1"/>
  <c r="I65" i="4"/>
  <c r="I64" i="4"/>
  <c r="I63" i="4"/>
  <c r="O47" i="5" s="1"/>
  <c r="I62" i="4"/>
  <c r="G37" i="5" s="1"/>
  <c r="I61" i="4"/>
  <c r="G38" i="5" s="1"/>
  <c r="I60" i="4"/>
  <c r="G21" i="5" s="1"/>
  <c r="I59" i="4"/>
  <c r="I58" i="4"/>
  <c r="I57" i="4"/>
  <c r="M13" i="5" s="1"/>
  <c r="I56" i="4"/>
  <c r="L24" i="5" s="1"/>
  <c r="I55" i="4"/>
  <c r="M28" i="5" s="1"/>
  <c r="I54" i="4"/>
  <c r="M49" i="5" s="1"/>
  <c r="I53" i="4"/>
  <c r="O51" i="5" s="1"/>
  <c r="I52" i="4"/>
  <c r="I51" i="4"/>
  <c r="O9" i="5" s="1"/>
  <c r="I50" i="4"/>
  <c r="M33" i="5" s="1"/>
  <c r="I49" i="4"/>
  <c r="I48" i="4"/>
  <c r="N28" i="5" s="1"/>
  <c r="I47" i="4"/>
  <c r="M46" i="5" s="1"/>
  <c r="I46" i="4"/>
  <c r="M35" i="5" s="1"/>
  <c r="I45" i="4"/>
  <c r="L32" i="5" s="1"/>
  <c r="I44" i="4"/>
  <c r="G20" i="5" s="1"/>
  <c r="P20" i="5" s="1"/>
  <c r="I43" i="4"/>
  <c r="I42" i="4"/>
  <c r="I41" i="4"/>
  <c r="G15" i="5" s="1"/>
  <c r="I40" i="4"/>
  <c r="I39" i="4"/>
  <c r="F11" i="6" s="1"/>
  <c r="G11" i="6" s="1"/>
  <c r="I38" i="4"/>
  <c r="G5" i="10" s="1"/>
  <c r="I37" i="4"/>
  <c r="K18" i="5" s="1"/>
  <c r="I36" i="4"/>
  <c r="I35" i="4"/>
  <c r="O8" i="5" s="1"/>
  <c r="I34" i="4"/>
  <c r="I33" i="4"/>
  <c r="N42" i="5" s="1"/>
  <c r="I32" i="4"/>
  <c r="I31" i="4"/>
  <c r="K28" i="5" s="1"/>
  <c r="I30" i="4"/>
  <c r="I29" i="4"/>
  <c r="I28" i="4"/>
  <c r="N29" i="5" s="1"/>
  <c r="I27" i="4"/>
  <c r="I26" i="4"/>
  <c r="K44" i="5" s="1"/>
  <c r="I25" i="4"/>
  <c r="J43" i="5" s="1"/>
  <c r="I24" i="4"/>
  <c r="I23" i="4"/>
  <c r="N13" i="5" s="1"/>
  <c r="I22" i="4"/>
  <c r="J42" i="5" s="1"/>
  <c r="I21" i="4"/>
  <c r="G41" i="5" s="1"/>
  <c r="I20" i="4"/>
  <c r="I19" i="4"/>
  <c r="G9" i="5" s="1"/>
  <c r="I18" i="4"/>
  <c r="G11" i="5" s="1"/>
  <c r="I17" i="4"/>
  <c r="F9" i="6" s="1"/>
  <c r="G9" i="6" s="1"/>
  <c r="I16" i="4"/>
  <c r="H5" i="10" s="1"/>
  <c r="I15" i="4"/>
  <c r="F6" i="6" s="1"/>
  <c r="G6" i="6" s="1"/>
  <c r="I14" i="4"/>
  <c r="F5" i="6" s="1"/>
  <c r="G5" i="6" s="1"/>
  <c r="I13" i="4"/>
  <c r="G47" i="5" s="1"/>
  <c r="I12" i="4"/>
  <c r="K13" i="5" s="1"/>
  <c r="I11" i="4"/>
  <c r="G2" i="10" s="1"/>
  <c r="I10" i="4"/>
  <c r="H4" i="10" s="1"/>
  <c r="I9" i="4"/>
  <c r="K16" i="5" s="1"/>
  <c r="I8" i="4"/>
  <c r="G17" i="5" s="1"/>
  <c r="P17" i="5" s="1"/>
  <c r="I7" i="4"/>
  <c r="F10" i="6" s="1"/>
  <c r="G10" i="6" s="1"/>
  <c r="I6" i="4"/>
  <c r="F7" i="6" s="1"/>
  <c r="G7" i="6" s="1"/>
  <c r="I5" i="4"/>
  <c r="G4" i="5" s="1"/>
  <c r="P4" i="5" s="1"/>
  <c r="I4" i="4"/>
  <c r="F4" i="6" s="1"/>
  <c r="G4" i="6" s="1"/>
  <c r="I3" i="4"/>
  <c r="J5" i="5" s="1"/>
  <c r="I2" i="4"/>
  <c r="L36" i="1" s="1"/>
  <c r="L91" i="1"/>
  <c r="D91" i="1"/>
  <c r="L90" i="1"/>
  <c r="D90" i="1"/>
  <c r="L89" i="1"/>
  <c r="P88" i="1"/>
  <c r="L88" i="1"/>
  <c r="N85" i="1"/>
  <c r="L85" i="1"/>
  <c r="D85" i="1"/>
  <c r="P84" i="1"/>
  <c r="L83" i="1"/>
  <c r="D83" i="1"/>
  <c r="R55" i="1"/>
  <c r="Q55" i="1"/>
  <c r="P55" i="1"/>
  <c r="O55" i="1"/>
  <c r="N55" i="1"/>
  <c r="R54" i="1"/>
  <c r="Q54" i="1"/>
  <c r="P54" i="1"/>
  <c r="O54" i="1"/>
  <c r="N54" i="1"/>
  <c r="R53" i="1"/>
  <c r="Q53" i="1"/>
  <c r="P53" i="1"/>
  <c r="O53" i="1"/>
  <c r="N53" i="1"/>
  <c r="R52" i="1"/>
  <c r="Q52" i="1"/>
  <c r="P52" i="1"/>
  <c r="O52" i="1"/>
  <c r="N52" i="1"/>
  <c r="R51" i="1"/>
  <c r="Q51" i="1"/>
  <c r="P51" i="1"/>
  <c r="O51" i="1"/>
  <c r="N51" i="1"/>
  <c r="R50" i="1"/>
  <c r="Q50" i="1"/>
  <c r="P50" i="1"/>
  <c r="O50" i="1"/>
  <c r="N50" i="1"/>
  <c r="R49" i="1"/>
  <c r="Q49" i="1"/>
  <c r="P49" i="1"/>
  <c r="O49" i="1"/>
  <c r="N49" i="1"/>
  <c r="R48" i="1"/>
  <c r="Q48" i="1"/>
  <c r="P48" i="1"/>
  <c r="O48" i="1"/>
  <c r="N48" i="1"/>
  <c r="R47" i="1"/>
  <c r="Q47" i="1"/>
  <c r="P47" i="1"/>
  <c r="O47" i="1"/>
  <c r="N47" i="1"/>
  <c r="R46" i="1"/>
  <c r="Q46" i="1"/>
  <c r="P46" i="1"/>
  <c r="O46" i="1"/>
  <c r="N46" i="1"/>
  <c r="F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E33" i="1"/>
  <c r="D33" i="1"/>
  <c r="C33" i="1"/>
  <c r="B33" i="1"/>
  <c r="F32" i="1"/>
  <c r="E32" i="1"/>
  <c r="D32" i="1"/>
  <c r="C32" i="1"/>
  <c r="B32" i="1"/>
  <c r="R31" i="1"/>
  <c r="Q31" i="1"/>
  <c r="O31" i="1"/>
  <c r="N31" i="1"/>
  <c r="F31" i="1"/>
  <c r="E31" i="1"/>
  <c r="D31" i="1"/>
  <c r="C31" i="1"/>
  <c r="B31" i="1"/>
  <c r="R30" i="1"/>
  <c r="Q30" i="1"/>
  <c r="P30" i="1"/>
  <c r="O30" i="1"/>
  <c r="N30" i="1"/>
  <c r="F30" i="1"/>
  <c r="E30" i="1"/>
  <c r="D30" i="1"/>
  <c r="C30" i="1"/>
  <c r="B30" i="1"/>
  <c r="Q29" i="1"/>
  <c r="O29" i="1"/>
  <c r="N29" i="1"/>
  <c r="F29" i="1"/>
  <c r="E29" i="1"/>
  <c r="D29" i="1"/>
  <c r="C29" i="1"/>
  <c r="B29" i="1"/>
  <c r="R28" i="1"/>
  <c r="Q28" i="1"/>
  <c r="O28" i="1"/>
  <c r="N28" i="1"/>
  <c r="L28" i="1"/>
  <c r="K28" i="1"/>
  <c r="J28" i="1"/>
  <c r="I28" i="1"/>
  <c r="H28" i="1"/>
  <c r="F28" i="1"/>
  <c r="E28" i="1"/>
  <c r="D28" i="1"/>
  <c r="C28" i="1"/>
  <c r="B28" i="1"/>
  <c r="R27" i="1"/>
  <c r="Q27" i="1"/>
  <c r="O27" i="1"/>
  <c r="N27" i="1"/>
  <c r="L27" i="1"/>
  <c r="K27" i="1"/>
  <c r="J27" i="1"/>
  <c r="I27" i="1"/>
  <c r="H27" i="1"/>
  <c r="F27" i="1"/>
  <c r="E27" i="1"/>
  <c r="D27" i="1"/>
  <c r="D39" i="1" s="1"/>
  <c r="C27" i="1"/>
  <c r="C39" i="1" s="1"/>
  <c r="B27" i="1"/>
  <c r="Q26" i="1"/>
  <c r="P26" i="1"/>
  <c r="O26" i="1"/>
  <c r="N26" i="1"/>
  <c r="L26" i="1"/>
  <c r="K26" i="1"/>
  <c r="J26" i="1"/>
  <c r="I26" i="1"/>
  <c r="H26" i="1"/>
  <c r="R25" i="1"/>
  <c r="Q25" i="1"/>
  <c r="P25" i="1"/>
  <c r="O25" i="1"/>
  <c r="N25" i="1"/>
  <c r="L25" i="1"/>
  <c r="K25" i="1"/>
  <c r="J25" i="1"/>
  <c r="I25" i="1"/>
  <c r="H25" i="1"/>
  <c r="R24" i="1"/>
  <c r="Q24" i="1"/>
  <c r="O24" i="1"/>
  <c r="N24" i="1"/>
  <c r="L24" i="1"/>
  <c r="K24" i="1"/>
  <c r="J24" i="1"/>
  <c r="J29" i="1" s="1"/>
  <c r="I24" i="1"/>
  <c r="I29" i="1" s="1"/>
  <c r="H24" i="1"/>
  <c r="R23" i="1"/>
  <c r="Q23" i="1"/>
  <c r="P23" i="1"/>
  <c r="O23" i="1"/>
  <c r="N23" i="1"/>
  <c r="L23" i="1"/>
  <c r="K23" i="1"/>
  <c r="J23" i="1"/>
  <c r="I23" i="1"/>
  <c r="H23" i="1"/>
  <c r="E23" i="1"/>
  <c r="Q22" i="1"/>
  <c r="P22" i="1"/>
  <c r="O22" i="1"/>
  <c r="N22" i="1"/>
  <c r="F22" i="1"/>
  <c r="E22" i="1"/>
  <c r="C22" i="1"/>
  <c r="B22" i="1"/>
  <c r="R21" i="1"/>
  <c r="Q21" i="1"/>
  <c r="O21" i="1"/>
  <c r="N21" i="1"/>
  <c r="F21" i="1"/>
  <c r="E21" i="1"/>
  <c r="C21" i="1"/>
  <c r="R20" i="1"/>
  <c r="Q20" i="1"/>
  <c r="P20" i="1"/>
  <c r="O20" i="1"/>
  <c r="N20" i="1"/>
  <c r="F20" i="1"/>
  <c r="E20" i="1"/>
  <c r="B20" i="1"/>
  <c r="R19" i="1"/>
  <c r="Q19" i="1"/>
  <c r="P19" i="1"/>
  <c r="O19" i="1"/>
  <c r="N19" i="1"/>
  <c r="F19" i="1"/>
  <c r="E19" i="1"/>
  <c r="D19" i="1"/>
  <c r="C19" i="1"/>
  <c r="B19" i="1"/>
  <c r="R18" i="1"/>
  <c r="Q18" i="1"/>
  <c r="P18" i="1"/>
  <c r="O18" i="1"/>
  <c r="N18" i="1"/>
  <c r="I18" i="1"/>
  <c r="F18" i="1"/>
  <c r="E18" i="1"/>
  <c r="C18" i="1"/>
  <c r="B18" i="1"/>
  <c r="R17" i="1"/>
  <c r="Q17" i="1"/>
  <c r="P17" i="1"/>
  <c r="O17" i="1"/>
  <c r="N17" i="1"/>
  <c r="I17" i="1"/>
  <c r="I19" i="1" s="1"/>
  <c r="F17" i="1"/>
  <c r="F23" i="1" s="1"/>
  <c r="C17" i="1"/>
  <c r="B17" i="1"/>
  <c r="N12" i="1"/>
  <c r="K12" i="1"/>
  <c r="N11" i="1"/>
  <c r="K11" i="1"/>
  <c r="B8" i="1"/>
  <c r="B7" i="1"/>
  <c r="B4" i="1"/>
  <c r="H7" i="1" l="1"/>
  <c r="B19" i="10"/>
  <c r="L86" i="1" s="1"/>
  <c r="B18" i="10"/>
  <c r="B86" i="1"/>
  <c r="D22" i="1"/>
  <c r="D89" i="1"/>
  <c r="B25" i="10"/>
  <c r="L82" i="1" s="1"/>
  <c r="B24" i="10"/>
  <c r="D81" i="1"/>
  <c r="E11" i="1"/>
  <c r="K7" i="1"/>
  <c r="D88" i="1"/>
  <c r="P15" i="5"/>
  <c r="F39" i="1"/>
  <c r="E39" i="1"/>
  <c r="P37" i="5"/>
  <c r="D17" i="1"/>
  <c r="D23" i="1" s="1"/>
  <c r="K37" i="1"/>
  <c r="R26" i="1"/>
  <c r="K35" i="1"/>
  <c r="M11" i="5"/>
  <c r="P11" i="5" s="1"/>
  <c r="E17" i="1"/>
  <c r="B21" i="1"/>
  <c r="L35" i="1"/>
  <c r="L5" i="5"/>
  <c r="G14" i="5"/>
  <c r="P14" i="5" s="1"/>
  <c r="G30" i="5"/>
  <c r="P30" i="5" s="1"/>
  <c r="O38" i="5"/>
  <c r="P38" i="5" s="1"/>
  <c r="G46" i="5"/>
  <c r="P46" i="5" s="1"/>
  <c r="G6" i="10"/>
  <c r="G35" i="5"/>
  <c r="P35" i="5" s="1"/>
  <c r="K47" i="5"/>
  <c r="P47" i="5" s="1"/>
  <c r="G51" i="5"/>
  <c r="P51" i="5" s="1"/>
  <c r="G3" i="10"/>
  <c r="G11" i="10" s="1"/>
  <c r="N81" i="1" s="1"/>
  <c r="H6" i="10"/>
  <c r="N37" i="5"/>
  <c r="F3" i="6"/>
  <c r="G3" i="6" s="1"/>
  <c r="H3" i="10"/>
  <c r="B7" i="10"/>
  <c r="H34" i="1"/>
  <c r="G8" i="5"/>
  <c r="P8" i="5" s="1"/>
  <c r="R22" i="1"/>
  <c r="I34" i="1"/>
  <c r="K9" i="5"/>
  <c r="P9" i="5" s="1"/>
  <c r="G13" i="5"/>
  <c r="P13" i="5" s="1"/>
  <c r="M15" i="5"/>
  <c r="O21" i="5"/>
  <c r="P21" i="5" s="1"/>
  <c r="G29" i="5"/>
  <c r="P29" i="5" s="1"/>
  <c r="E14" i="10"/>
  <c r="G18" i="5"/>
  <c r="P18" i="5" s="1"/>
  <c r="K34" i="1"/>
  <c r="G7" i="5"/>
  <c r="G23" i="5"/>
  <c r="O31" i="5"/>
  <c r="P31" i="5" s="1"/>
  <c r="G39" i="5"/>
  <c r="P39" i="5" s="1"/>
  <c r="M41" i="5"/>
  <c r="P41" i="5" s="1"/>
  <c r="G7" i="10"/>
  <c r="L34" i="1"/>
  <c r="G4" i="10"/>
  <c r="H7" i="10"/>
  <c r="G28" i="5"/>
  <c r="P28" i="5" s="1"/>
  <c r="G44" i="5"/>
  <c r="P44" i="5" s="1"/>
  <c r="C20" i="1"/>
  <c r="C23" i="1" s="1"/>
  <c r="G33" i="5"/>
  <c r="G49" i="5"/>
  <c r="P49" i="5" s="1"/>
  <c r="J3" i="5"/>
  <c r="P3" i="5" s="1"/>
  <c r="B9" i="10"/>
  <c r="I33" i="1"/>
  <c r="G27" i="5"/>
  <c r="P27" i="5" s="1"/>
  <c r="G43" i="5"/>
  <c r="P43" i="5" s="1"/>
  <c r="J34" i="1"/>
  <c r="J33" i="1"/>
  <c r="H37" i="1"/>
  <c r="G16" i="5"/>
  <c r="P16" i="5" s="1"/>
  <c r="M18" i="5"/>
  <c r="G32" i="5"/>
  <c r="P32" i="5" s="1"/>
  <c r="J33" i="5"/>
  <c r="B21" i="10"/>
  <c r="K8" i="1" s="1"/>
  <c r="K33" i="1"/>
  <c r="H36" i="1"/>
  <c r="I37" i="1"/>
  <c r="G5" i="5"/>
  <c r="Q39" i="1" s="1"/>
  <c r="M7" i="5"/>
  <c r="M23" i="5"/>
  <c r="F8" i="6"/>
  <c r="G8" i="6" s="1"/>
  <c r="B22" i="10"/>
  <c r="H33" i="1"/>
  <c r="L33" i="1"/>
  <c r="H35" i="1"/>
  <c r="I36" i="1"/>
  <c r="J37" i="1"/>
  <c r="G42" i="5"/>
  <c r="P42" i="5" s="1"/>
  <c r="B39" i="10"/>
  <c r="B42" i="10" s="1"/>
  <c r="B94" i="1" s="1"/>
  <c r="F2" i="6"/>
  <c r="E5" i="7"/>
  <c r="D20" i="1" s="1"/>
  <c r="H2" i="10"/>
  <c r="I35" i="1"/>
  <c r="P2" i="5"/>
  <c r="J35" i="1"/>
  <c r="K36" i="1"/>
  <c r="L37" i="1"/>
  <c r="J36" i="1"/>
  <c r="P38" i="1" l="1"/>
  <c r="O36" i="1"/>
  <c r="O42" i="1"/>
  <c r="N38" i="1"/>
  <c r="B8" i="10"/>
  <c r="B12" i="1" s="1"/>
  <c r="B11" i="1"/>
  <c r="B15" i="10"/>
  <c r="N41" i="1"/>
  <c r="N36" i="1"/>
  <c r="R38" i="1"/>
  <c r="P39" i="1"/>
  <c r="Q41" i="1"/>
  <c r="O41" i="1"/>
  <c r="Q35" i="1"/>
  <c r="Q42" i="1"/>
  <c r="R36" i="1"/>
  <c r="P41" i="1"/>
  <c r="N82" i="1"/>
  <c r="D82" i="1"/>
  <c r="O40" i="1"/>
  <c r="P37" i="1"/>
  <c r="O39" i="1"/>
  <c r="O35" i="1"/>
  <c r="R39" i="1"/>
  <c r="P36" i="1"/>
  <c r="P40" i="1"/>
  <c r="D79" i="1"/>
  <c r="H11" i="1"/>
  <c r="N35" i="1"/>
  <c r="R37" i="1"/>
  <c r="Q40" i="1"/>
  <c r="P23" i="5"/>
  <c r="Q36" i="1"/>
  <c r="R42" i="1"/>
  <c r="J17" i="1"/>
  <c r="Q38" i="1"/>
  <c r="O37" i="1"/>
  <c r="O38" i="1"/>
  <c r="P33" i="5"/>
  <c r="P7" i="5"/>
  <c r="P35" i="1"/>
  <c r="N37" i="1"/>
  <c r="E12" i="1"/>
  <c r="L80" i="1"/>
  <c r="N7" i="1"/>
  <c r="B10" i="10"/>
  <c r="N40" i="1"/>
  <c r="R41" i="1"/>
  <c r="L81" i="1"/>
  <c r="G12" i="10"/>
  <c r="N79" i="1" s="1"/>
  <c r="L79" i="1"/>
  <c r="J18" i="1"/>
  <c r="K18" i="1" s="1"/>
  <c r="H12" i="1"/>
  <c r="D86" i="1"/>
  <c r="N86" i="1"/>
  <c r="H8" i="1"/>
  <c r="R40" i="1"/>
  <c r="P5" i="5"/>
  <c r="Q37" i="1" s="1"/>
  <c r="R35" i="1"/>
  <c r="P42" i="1"/>
  <c r="H46" i="1"/>
  <c r="H49" i="1"/>
  <c r="K45" i="1"/>
  <c r="G2" i="6"/>
  <c r="I49" i="1"/>
  <c r="L45" i="1"/>
  <c r="J41" i="1"/>
  <c r="I41" i="1"/>
  <c r="I50" i="1"/>
  <c r="J42" i="1"/>
  <c r="K47" i="1"/>
  <c r="J45" i="1"/>
  <c r="H41" i="1"/>
  <c r="L43" i="1"/>
  <c r="L50" i="1"/>
  <c r="J47" i="1"/>
  <c r="I45" i="1"/>
  <c r="K50" i="1"/>
  <c r="I47" i="1"/>
  <c r="H45" i="1"/>
  <c r="L42" i="1"/>
  <c r="K44" i="1"/>
  <c r="B36" i="10"/>
  <c r="L87" i="1" s="1"/>
  <c r="J50" i="1"/>
  <c r="H47" i="1"/>
  <c r="L44" i="1"/>
  <c r="K42" i="1"/>
  <c r="I48" i="1"/>
  <c r="I43" i="1"/>
  <c r="B35" i="10"/>
  <c r="B38" i="10" s="1"/>
  <c r="B34" i="10"/>
  <c r="H50" i="1"/>
  <c r="L48" i="1"/>
  <c r="J44" i="1"/>
  <c r="I42" i="1"/>
  <c r="K48" i="1"/>
  <c r="H42" i="1"/>
  <c r="I44" i="1"/>
  <c r="J48" i="1"/>
  <c r="H44" i="1"/>
  <c r="H48" i="1"/>
  <c r="L46" i="1"/>
  <c r="K43" i="1"/>
  <c r="K46" i="1"/>
  <c r="J43" i="1"/>
  <c r="J46" i="1"/>
  <c r="L49" i="1"/>
  <c r="K49" i="1"/>
  <c r="I46" i="1"/>
  <c r="H43" i="1"/>
  <c r="L41" i="1"/>
  <c r="J49" i="1"/>
  <c r="K41" i="1"/>
  <c r="L47" i="1"/>
  <c r="N42" i="1"/>
  <c r="N39" i="1"/>
  <c r="B84" i="1" l="1"/>
  <c r="E7" i="1"/>
  <c r="B16" i="10"/>
  <c r="B37" i="10"/>
  <c r="D87" i="1" s="1"/>
  <c r="N87" i="1"/>
  <c r="B12" i="10"/>
  <c r="B11" i="10"/>
  <c r="B14" i="10"/>
  <c r="B13" i="10"/>
  <c r="J19" i="1"/>
  <c r="K17" i="1"/>
  <c r="K19" i="1" s="1"/>
  <c r="N8" i="1" l="1"/>
  <c r="N80" i="1"/>
  <c r="E8" i="1"/>
  <c r="N84" i="1"/>
  <c r="L84" i="1"/>
  <c r="D84" i="1"/>
  <c r="D80" i="1"/>
</calcChain>
</file>

<file path=xl/sharedStrings.xml><?xml version="1.0" encoding="utf-8"?>
<sst xmlns="http://schemas.openxmlformats.org/spreadsheetml/2006/main" count="774" uniqueCount="379">
  <si>
    <t>PROCUREMENT INTELLIGENCE DASHBOARD  │  Purchasing analysis 2024–2025</t>
  </si>
  <si>
    <t>TOTAL SPEND</t>
  </si>
  <si>
    <t>CATEGORY CONCENTRATION</t>
  </si>
  <si>
    <t>HIGHEST Y/Y GROWTH</t>
  </si>
  <si>
    <t>PARETO 80% OF SPEND</t>
  </si>
  <si>
    <t>LARGEST SINGLE TXN</t>
  </si>
  <si>
    <t>ANOMALY VALUE</t>
  </si>
  <si>
    <t>PRICE ANOMALIES</t>
  </si>
  <si>
    <t>QUANTITY ANOMALIES</t>
  </si>
  <si>
    <t>PRICE OUTLIERS (μ+2σ)</t>
  </si>
  <si>
    <t>SPLIT ORDERS</t>
  </si>
  <si>
    <t xml:space="preserve">  1 │ SPEND ANALYSIS</t>
  </si>
  <si>
    <t xml:space="preserve">  2 │ ANOMALY MONITORING / AUDIT</t>
  </si>
  <si>
    <t xml:space="preserve">  3 │ SUPPLIER EVALUATION</t>
  </si>
  <si>
    <t>Spend by category – share of wallet</t>
  </si>
  <si>
    <t>Anomalies flagged in the database (transaction type)</t>
  </si>
  <si>
    <t>TOP 15 suppliers – spend and anomalies</t>
  </si>
  <si>
    <t>Category</t>
  </si>
  <si>
    <t>M PLN</t>
  </si>
  <si>
    <t>Share</t>
  </si>
  <si>
    <t>Change y/y</t>
  </si>
  <si>
    <t>Δ M PLN</t>
  </si>
  <si>
    <t>Type</t>
  </si>
  <si>
    <t>Txn</t>
  </si>
  <si>
    <t>% spend</t>
  </si>
  <si>
    <t>Most frequent cat.</t>
  </si>
  <si>
    <t>Supplier</t>
  </si>
  <si>
    <t>Anomalies</t>
  </si>
  <si>
    <t>Price anomaly</t>
  </si>
  <si>
    <t>Quantity anomaly</t>
  </si>
  <si>
    <t>Total</t>
  </si>
  <si>
    <t>Statistical outliers (price &gt; μ+2σ in category)</t>
  </si>
  <si>
    <t>Outliers</t>
  </si>
  <si>
    <t>Threshold PLN/u.</t>
  </si>
  <si>
    <t>Risk</t>
  </si>
  <si>
    <t>Monthly trend 2024 vs 2025 (M PLN)</t>
  </si>
  <si>
    <t>Month</t>
  </si>
  <si>
    <t>2024</t>
  </si>
  <si>
    <t>2025</t>
  </si>
  <si>
    <t>Δ %</t>
  </si>
  <si>
    <t>TOP 5 anomalous transactions (by value)</t>
  </si>
  <si>
    <t>Order ID</t>
  </si>
  <si>
    <t>Date</t>
  </si>
  <si>
    <t>Risk scorecard – TOP 8 by anomaly value</t>
  </si>
  <si>
    <t># anom.</t>
  </si>
  <si>
    <t>Top category</t>
  </si>
  <si>
    <t>Rating</t>
  </si>
  <si>
    <t>Buyers – value of anomalous transactions</t>
  </si>
  <si>
    <t>Buyer</t>
  </si>
  <si>
    <t>% anom. value</t>
  </si>
  <si>
    <t>Level</t>
  </si>
  <si>
    <t>Monthly trend – chart (M PLN)</t>
  </si>
  <si>
    <t>Buyers – spend and activity</t>
  </si>
  <si>
    <t>Avg txn PLN</t>
  </si>
  <si>
    <t>Spend by category (M PLN)</t>
  </si>
  <si>
    <t>Anomaly value by category and type (M PLN)</t>
  </si>
  <si>
    <t>TOP 10 suppliers – spend (M PLN)</t>
  </si>
  <si>
    <t xml:space="preserve">  4 │ RED FLAGS – WARNING SIGNALS</t>
  </si>
  <si>
    <t>Alerts for the purchasing team (priority set by rules in the Parameters sheet)</t>
  </si>
  <si>
    <t>Priority</t>
  </si>
  <si>
    <t>Warning signal</t>
  </si>
  <si>
    <t>Value at risk (M PLN)</t>
  </si>
  <si>
    <t>Area</t>
  </si>
  <si>
    <t>Recommended action</t>
  </si>
  <si>
    <t>CRITICAL</t>
  </si>
  <si>
    <t>Physical delivery audit + payment hold</t>
  </si>
  <si>
    <t>Check the invoice and purchase order (PO) now</t>
  </si>
  <si>
    <t>Compare market prices with framework agreements</t>
  </si>
  <si>
    <t>Supplier due diligence + renegotiate terms</t>
  </si>
  <si>
    <t>WARNING</t>
  </si>
  <si>
    <t>All categories</t>
  </si>
  <si>
    <t>Audit tender thresholds + update the policy</t>
  </si>
  <si>
    <t>Review price lists + audit framework agreements</t>
  </si>
  <si>
    <t>Review the budget + ROI of spend</t>
  </si>
  <si>
    <t>Review approval rights – four-eyes rule</t>
  </si>
  <si>
    <t>WATCH</t>
  </si>
  <si>
    <t>Whole portfolio</t>
  </si>
  <si>
    <t>Office Supplies</t>
  </si>
  <si>
    <t>E-catalogue / framework agreement with 1 supplier</t>
  </si>
  <si>
    <t>Raw Materials</t>
  </si>
  <si>
    <t>Keep price discipline; monitor in Q1</t>
  </si>
  <si>
    <t>Logistics</t>
  </si>
  <si>
    <t>Monitor vs PPI + renegotiate in Q1</t>
  </si>
  <si>
    <t>Method: anomalies = transactions flagged in the source database (price / quantity type); outliers = unit price &gt; μ+2σ in the category; split order = &gt;1 txn on the same day / buyer / supplier / category; Pareto = number of suppliers needed for 80% of spend. Rating and priority thresholds: Parameters sheet. Details: Methodology sheet.</t>
  </si>
  <si>
    <t>PROCUREMENT INTELLIGENCE DASHBOARD – methodology</t>
  </si>
  <si>
    <t>Goal</t>
  </si>
  <si>
    <t>A quick review of 2 years of purchasing: where the money goes, which transactions look suspicious, which suppliers and buyers need attention, and what to do first.</t>
  </si>
  <si>
    <t>Data source</t>
  </si>
  <si>
    <t>A database of 100,000 purchase transactions (2024–2025): date, category, supplier, buyer, quantity, unit price, transaction type. This file holds aggregates from that database + the full list of 80 anomalous transactions.</t>
  </si>
  <si>
    <t>Anonymisation</t>
  </si>
  <si>
    <t>Supplier names, buyer names and order numbers are changed. PLN values are transformed, but proportions, shares, y/y changes and transaction counts are kept, so the conclusions are the same.</t>
  </si>
  <si>
    <t>File structure</t>
  </si>
  <si>
    <t>Dashboard – the view for a manager. Data_* – input data (aggregates and transactions). Calculations – helper metrics. Parameters – thresholds and benchmarks (you can change them). Every number on the dashboard is a formula.</t>
  </si>
  <si>
    <t>Price / quantity anomaly</t>
  </si>
  <si>
    <t>Transactions flagged in the source database (transaction type column): unit price or quantity clearly above normal.</t>
  </si>
  <si>
    <t>Price outlier</t>
  </si>
  <si>
    <t>A transaction with a unit price higher than the mean + 2 standard deviations (μ+2σ) in its category.</t>
  </si>
  <si>
    <t>Split order</t>
  </si>
  <si>
    <t>More than 1 transaction on the same day, by the same buyer, with the same supplier, in the same category – a possible split of one order to stay under the tender limit.</t>
  </si>
  <si>
    <t>Pareto</t>
  </si>
  <si>
    <t>How many suppliers (from the largest) are needed to cover 80% of spend. A high number = a spread-out supplier base and room to consolidate.</t>
  </si>
  <si>
    <t>Supplier rating</t>
  </si>
  <si>
    <t>Based on the number of anomalies: HIGH from 4, ELEVATED from 2, below that LOW (thresholds in the Parameters sheet).</t>
  </si>
  <si>
    <t>Buyer level</t>
  </si>
  <si>
    <t>Based on the number of anomalies: HIGH from 8, MEDIUM from 5, below that LOW.</t>
  </si>
  <si>
    <t>Outlier risk</t>
  </si>
  <si>
    <t>Based on the outlier value in a category: HIGH from 20 M PLN, MEDIUM from 5 M PLN.</t>
  </si>
  <si>
    <t>Inflation benchmark</t>
  </si>
  <si>
    <t>Polish PPI 2025 (GUS) ~3.5% y/y. Excess vs PPI = spend 2025 − spend 2024 × (1 + PPI).</t>
  </si>
  <si>
    <t>Quality check</t>
  </si>
  <si>
    <t>Total spend by category, by month and by supplier is compared automatically (Calculations sheet, end of list). The status is shown at the bottom of the dashboard.</t>
  </si>
  <si>
    <t>Colours</t>
  </si>
  <si>
    <t>Red = needs action, yellow = watch, green = fine. Blue font on a yellow background = input cell you can edit.</t>
  </si>
  <si>
    <t>Author</t>
  </si>
  <si>
    <t>Paweł Liberacki – pawelliberackicareer@gmail.com</t>
  </si>
  <si>
    <t>Parameter</t>
  </si>
  <si>
    <t>Value</t>
  </si>
  <si>
    <t>Description</t>
  </si>
  <si>
    <t>Polish PPI 2025 (GUS, y/y)</t>
  </si>
  <si>
    <t>Producer price inflation benchmark – reference point for year-on-year growth</t>
  </si>
  <si>
    <t>Supplier rating HIGH – min. anomalies</t>
  </si>
  <si>
    <t>Number of anomalies from which a supplier is rated HIGH</t>
  </si>
  <si>
    <t>Supplier rating ELEVATED – min. anomalies</t>
  </si>
  <si>
    <t>From this number the rating is ELEVATED (below: LOW)</t>
  </si>
  <si>
    <t>Buyer level HIGH – min. anomalies</t>
  </si>
  <si>
    <t>Number of buyer anomalies for level HIGH</t>
  </si>
  <si>
    <t>Buyer level MEDIUM – min. anomalies</t>
  </si>
  <si>
    <t>Number of buyer anomalies for level MEDIUM</t>
  </si>
  <si>
    <t>Outliers – risk HIGH from (M PLN)</t>
  </si>
  <si>
    <t>Outlier value in a category for risk HIGH</t>
  </si>
  <si>
    <t>Outliers – risk MEDIUM from (M PLN)</t>
  </si>
  <si>
    <t>Outlier value in a category for risk MEDIUM</t>
  </si>
  <si>
    <t>Pareto – share threshold</t>
  </si>
  <si>
    <t>Share of spend used in the Pareto analysis</t>
  </si>
  <si>
    <t>KPI – max. share of one category</t>
  </si>
  <si>
    <t>Target limit for spend concentration in one category</t>
  </si>
  <si>
    <t>Consolidation target – number of suppliers</t>
  </si>
  <si>
    <t>Target number of suppliers after consolidation</t>
  </si>
  <si>
    <t>Cells with a yellow background and blue font can be changed – the whole dashboard recalculates automatically.</t>
  </si>
  <si>
    <t>Order_ID</t>
  </si>
  <si>
    <t>Quantity</t>
  </si>
  <si>
    <t>Unit_price_PLN</t>
  </si>
  <si>
    <t>Anomaly_type</t>
  </si>
  <si>
    <t>Value_PLN</t>
  </si>
  <si>
    <t>PO-817370</t>
  </si>
  <si>
    <t>IT Hardware</t>
  </si>
  <si>
    <t>SUP-46</t>
  </si>
  <si>
    <t>BUYER-06</t>
  </si>
  <si>
    <t>PO-663941</t>
  </si>
  <si>
    <t>SUP-14</t>
  </si>
  <si>
    <t>BUYER-09</t>
  </si>
  <si>
    <t>PO-417578</t>
  </si>
  <si>
    <t>SUP-30</t>
  </si>
  <si>
    <t>BUYER-02</t>
  </si>
  <si>
    <t>PO-393878</t>
  </si>
  <si>
    <t>SUP-12</t>
  </si>
  <si>
    <t>PO-474907</t>
  </si>
  <si>
    <t>Marketing Services</t>
  </si>
  <si>
    <t>BUYER-03</t>
  </si>
  <si>
    <t>PO-130587</t>
  </si>
  <si>
    <t>SUP-33</t>
  </si>
  <si>
    <t>BUYER-05</t>
  </si>
  <si>
    <t>PO-610335</t>
  </si>
  <si>
    <t>SUP-22</t>
  </si>
  <si>
    <t>PO-943739</t>
  </si>
  <si>
    <t>SUP-43</t>
  </si>
  <si>
    <t>BUYER-08</t>
  </si>
  <si>
    <t>PO-467498</t>
  </si>
  <si>
    <t>Media &amp; Energy</t>
  </si>
  <si>
    <t>SUP-27</t>
  </si>
  <si>
    <t>PO-330583</t>
  </si>
  <si>
    <t>SUP-23</t>
  </si>
  <si>
    <t>PO-708043</t>
  </si>
  <si>
    <t>SUP-01</t>
  </si>
  <si>
    <t>PO-777420</t>
  </si>
  <si>
    <t>SUP-35</t>
  </si>
  <si>
    <t>PO-195144</t>
  </si>
  <si>
    <t>BUYER-10</t>
  </si>
  <si>
    <t>PO-952353</t>
  </si>
  <si>
    <t>BUYER-07</t>
  </si>
  <si>
    <t>PO-382414</t>
  </si>
  <si>
    <t>SUP-17</t>
  </si>
  <si>
    <t>PO-442002</t>
  </si>
  <si>
    <t>SUP-47</t>
  </si>
  <si>
    <t>BUYER-04</t>
  </si>
  <si>
    <t>PO-305087</t>
  </si>
  <si>
    <t>SUP-39</t>
  </si>
  <si>
    <t>PO-568674</t>
  </si>
  <si>
    <t>SUP-44</t>
  </si>
  <si>
    <t>PO-951484</t>
  </si>
  <si>
    <t>PO-239516</t>
  </si>
  <si>
    <t>SUP-21</t>
  </si>
  <si>
    <t>PO-990735</t>
  </si>
  <si>
    <t>SUP-13</t>
  </si>
  <si>
    <t>PO-962607</t>
  </si>
  <si>
    <t>PO-758071</t>
  </si>
  <si>
    <t>PO-525454</t>
  </si>
  <si>
    <t>SUP-49</t>
  </si>
  <si>
    <t>PO-621987</t>
  </si>
  <si>
    <t>SUP-41</t>
  </si>
  <si>
    <t>PO-244246</t>
  </si>
  <si>
    <t>PO-387382</t>
  </si>
  <si>
    <t>SUP-48</t>
  </si>
  <si>
    <t>PO-368412</t>
  </si>
  <si>
    <t>PO-505693</t>
  </si>
  <si>
    <t>PO-754297</t>
  </si>
  <si>
    <t>SUP-02</t>
  </si>
  <si>
    <t>PO-914207</t>
  </si>
  <si>
    <t>PO-567426</t>
  </si>
  <si>
    <t>PO-975319</t>
  </si>
  <si>
    <t>PO-422855</t>
  </si>
  <si>
    <t>PO-658837</t>
  </si>
  <si>
    <t>PO-796780</t>
  </si>
  <si>
    <t>SUP-29</t>
  </si>
  <si>
    <t>PO-885984</t>
  </si>
  <si>
    <t>PO-478151</t>
  </si>
  <si>
    <t>BUYER-01</t>
  </si>
  <si>
    <t>PO-343297</t>
  </si>
  <si>
    <t>SUP-31</t>
  </si>
  <si>
    <t>PO-870159</t>
  </si>
  <si>
    <t>SUP-08</t>
  </si>
  <si>
    <t>PO-152860</t>
  </si>
  <si>
    <t>SUP-34</t>
  </si>
  <si>
    <t>PO-814596</t>
  </si>
  <si>
    <t>PO-101622</t>
  </si>
  <si>
    <t>SUP-20</t>
  </si>
  <si>
    <t>PO-757042</t>
  </si>
  <si>
    <t>SUP-28</t>
  </si>
  <si>
    <t>PO-131181</t>
  </si>
  <si>
    <t>SUP-07</t>
  </si>
  <si>
    <t>PO-549943</t>
  </si>
  <si>
    <t>SUP-10</t>
  </si>
  <si>
    <t>PO-373208</t>
  </si>
  <si>
    <t>PO-121269</t>
  </si>
  <si>
    <t>PO-645662</t>
  </si>
  <si>
    <t>PO-545321</t>
  </si>
  <si>
    <t>PO-271181</t>
  </si>
  <si>
    <t>PO-586017</t>
  </si>
  <si>
    <t>SUP-45</t>
  </si>
  <si>
    <t>PO-184098</t>
  </si>
  <si>
    <t>SUP-06</t>
  </si>
  <si>
    <t>PO-543766</t>
  </si>
  <si>
    <t>PO-485011</t>
  </si>
  <si>
    <t>SUP-24</t>
  </si>
  <si>
    <t>PO-730707</t>
  </si>
  <si>
    <t>PO-730894</t>
  </si>
  <si>
    <t>PO-270003</t>
  </si>
  <si>
    <t>PO-499423</t>
  </si>
  <si>
    <t>SUP-26</t>
  </si>
  <si>
    <t>PO-763252</t>
  </si>
  <si>
    <t>SUP-38</t>
  </si>
  <si>
    <t>PO-818224</t>
  </si>
  <si>
    <t>SUP-09</t>
  </si>
  <si>
    <t>PO-769534</t>
  </si>
  <si>
    <t>PO-474625</t>
  </si>
  <si>
    <t>PO-964675</t>
  </si>
  <si>
    <t>PO-522950</t>
  </si>
  <si>
    <t>PO-382808</t>
  </si>
  <si>
    <t>PO-135079</t>
  </si>
  <si>
    <t>PO-422399</t>
  </si>
  <si>
    <t>PO-103729</t>
  </si>
  <si>
    <t>PO-434909</t>
  </si>
  <si>
    <t>SUP-15</t>
  </si>
  <si>
    <t>PO-899547</t>
  </si>
  <si>
    <t>PO-170513</t>
  </si>
  <si>
    <t>PO-619433</t>
  </si>
  <si>
    <t>PO-470675</t>
  </si>
  <si>
    <t>PO-257190</t>
  </si>
  <si>
    <t>PO-335378</t>
  </si>
  <si>
    <t>SUP-50</t>
  </si>
  <si>
    <t>PO-593602</t>
  </si>
  <si>
    <t>SUP-40</t>
  </si>
  <si>
    <t>PO-194696</t>
  </si>
  <si>
    <t>PO-659317</t>
  </si>
  <si>
    <t>PO-726341</t>
  </si>
  <si>
    <t>Transactions flagged as anomalies in the source database. Value_PLN = Quantity × Unit_price_PLN.</t>
  </si>
  <si>
    <t>Spend_PLN</t>
  </si>
  <si>
    <t>Txn_count</t>
  </si>
  <si>
    <t>Avg_txn_value</t>
  </si>
  <si>
    <t>Spend_share</t>
  </si>
  <si>
    <t>Anomaly_count</t>
  </si>
  <si>
    <t>Anomaly_value_PLN</t>
  </si>
  <si>
    <t>Risk_rating</t>
  </si>
  <si>
    <t>Cumulative_share</t>
  </si>
  <si>
    <t>Top_anomaly_category</t>
  </si>
  <si>
    <t>SUP-18</t>
  </si>
  <si>
    <t>SUP-05</t>
  </si>
  <si>
    <t>SUP-04</t>
  </si>
  <si>
    <t>SUP-11</t>
  </si>
  <si>
    <t>SUP-16</t>
  </si>
  <si>
    <t>SUP-19</t>
  </si>
  <si>
    <t>SUP-25</t>
  </si>
  <si>
    <t>SUP-42</t>
  </si>
  <si>
    <t>SUP-37</t>
  </si>
  <si>
    <t>SUP-36</t>
  </si>
  <si>
    <t>SUP-32</t>
  </si>
  <si>
    <t>SUP-03</t>
  </si>
  <si>
    <t>Spend and transaction count: aggregates from the 100,000-transaction database. Anomaly columns are formulas based on Data_Anomalies. Columns J–O: anomaly value of the supplier in each category.</t>
  </si>
  <si>
    <t>Spend_M_PLN</t>
  </si>
  <si>
    <t>Avg_txn_value_PLN</t>
  </si>
  <si>
    <t>Share_of_anomaly_value</t>
  </si>
  <si>
    <t>Spend and transaction count: aggregates from the source database. Anomalies are formulas based on Data_Anomalies.</t>
  </si>
  <si>
    <t>Spend_2024_M_PLN</t>
  </si>
  <si>
    <t>Spend_2025_M_PLN</t>
  </si>
  <si>
    <t>Spend_total_M_PLN</t>
  </si>
  <si>
    <t>Change_yy</t>
  </si>
  <si>
    <t>Change_M_PLN</t>
  </si>
  <si>
    <t>Excess_vs_PPI_M_PLN</t>
  </si>
  <si>
    <t>Excess vs PPI = spend 2025 − spend 2024 × (1 + PPI). A positive value = growth faster than inflation.</t>
  </si>
  <si>
    <t>Change_pct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</si>
  <si>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</si>
  <si>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</si>
  <si>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</si>
  <si>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</si>
  <si>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</si>
  <si>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</si>
  <si>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</si>
  <si>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</si>
  <si>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</si>
  <si>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</si>
  <si>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</si>
  <si>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</si>
  <si>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Outlier_count</t>
  </si>
  <si>
    <t>Value_M_PLN</t>
  </si>
  <si>
    <t>Threshold_μ+2σ_PLN_per_unit</t>
  </si>
  <si>
    <t>Outlier = a transaction with a unit price above the mean + 2 standard deviations in its category.</t>
  </si>
  <si>
    <t>Other figures from the source database</t>
  </si>
  <si>
    <t>Transactions in the database</t>
  </si>
  <si>
    <t>Split orders – number of cases</t>
  </si>
  <si>
    <t>Split orders – value M PLN</t>
  </si>
  <si>
    <t>Split order = more than 1 transaction on the same day, by the same buyer, with the same supplier, in the same category.</t>
  </si>
  <si>
    <t>Metric</t>
  </si>
  <si>
    <t>Txn – price</t>
  </si>
  <si>
    <t>Txn – quantity</t>
  </si>
  <si>
    <t>M PLN – price</t>
  </si>
  <si>
    <t>M PLN – quantity</t>
  </si>
  <si>
    <t>Total spend (PLN)</t>
  </si>
  <si>
    <t>Number of transactions</t>
  </si>
  <si>
    <t>Number of suppliers</t>
  </si>
  <si>
    <t>Number of buyers</t>
  </si>
  <si>
    <t>Number of anomalies</t>
  </si>
  <si>
    <t>Anomaly value (PLN)</t>
  </si>
  <si>
    <t>Anomaly share of spend</t>
  </si>
  <si>
    <t>Largest transaction (PLN)</t>
  </si>
  <si>
    <t xml:space="preserve">  – row</t>
  </si>
  <si>
    <t>Most frequent category / highest value</t>
  </si>
  <si>
    <t>Most frequent</t>
  </si>
  <si>
    <t>Highest value</t>
  </si>
  <si>
    <t xml:space="preserve">  – ID</t>
  </si>
  <si>
    <t xml:space="preserve">  – supplier</t>
  </si>
  <si>
    <t xml:space="preserve">  – category</t>
  </si>
  <si>
    <t>Txn count – price</t>
  </si>
  <si>
    <t xml:space="preserve">  – date (text)</t>
  </si>
  <si>
    <t>Txn count – quantity</t>
  </si>
  <si>
    <t>Largest category share</t>
  </si>
  <si>
    <t>Highest y/y growth</t>
  </si>
  <si>
    <t xml:space="preserve">  – excess vs PPI (M PLN)</t>
  </si>
  <si>
    <t>Pareto – suppliers needed for 80% of spend</t>
  </si>
  <si>
    <t>TOP 5 suppliers share</t>
  </si>
  <si>
    <t>Suppliers with at least 1 anomaly</t>
  </si>
  <si>
    <t>Max. anomalies at one supplier</t>
  </si>
  <si>
    <t xml:space="preserve">  – anomaly value (PLN)</t>
  </si>
  <si>
    <t>Price outliers – count</t>
  </si>
  <si>
    <t>Price outliers – value (M PLN)</t>
  </si>
  <si>
    <t xml:space="preserve">  – category with the highest value</t>
  </si>
  <si>
    <t xml:space="preserve">  – count</t>
  </si>
  <si>
    <t xml:space="preserve">  – value (M PLN)</t>
  </si>
  <si>
    <t xml:space="preserve">  – threshold PLN/unit</t>
  </si>
  <si>
    <t>Split orders – count</t>
  </si>
  <si>
    <t>Split orders – value (M PLN)</t>
  </si>
  <si>
    <t>Buyer no. 1 by anomaly value</t>
  </si>
  <si>
    <t>Buyer no. 2 by anomaly value</t>
  </si>
  <si>
    <t xml:space="preserve">  – combined value (PLN)</t>
  </si>
  <si>
    <t xml:space="preserve">  – anomalies, no. 1</t>
  </si>
  <si>
    <t xml:space="preserve">  – anomalies, no. 2</t>
  </si>
  <si>
    <t>CHECK: sum of categories (M PLN)</t>
  </si>
  <si>
    <t>CHECK: sum of months (M PLN)</t>
  </si>
  <si>
    <t>CHECK: sum of suppliers (M PLN)</t>
  </si>
  <si>
    <t>CHECK: status (1 M PLN tolerance – rounding)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</si>
</sst>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&quot; M PLN&quot;"/>
    <numFmt numFmtId="165" formatCode="0.0%"/>
    <numFmt numFmtId="166" formatCode="\+0.0%;\-0.0%"/>
    <numFmt numFmtId="167" formatCode="#,##0.00&quot; M PLN&quot;"/>
    <numFmt numFmtId="168" formatCode="#,##0.0"/>
    <numFmt numFmtId="169" formatCode="\+0.0%;\-0.0%;0.0%"/>
    <numFmt numFmtId="170" formatCode="\+#,##0.0;\-#,##0.0;0.0"/>
    <numFmt numFmtId="171" formatCode="yyyy\-mm\-dd"/>
    <numFmt numFmtId="172" formatCode="#,##0.0;\-#,##0.0;\—"/>
  </numFmts>
  <fonts count="24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595959"/>
      <name val="Arial"/>
      <charset val="1"/>
    </font>
    <font>
      <b/>
      <sz val="8"/>
      <color rgb="FF1F3864"/>
      <name val="Arial"/>
      <charset val="1"/>
    </font>
    <font>
      <b/>
      <sz val="8"/>
      <color rgb="FF0B6E69"/>
      <name val="Arial"/>
      <charset val="1"/>
    </font>
    <font>
      <b/>
      <sz val="15"/>
      <color rgb="FF000000"/>
      <name val="Arial"/>
      <charset val="1"/>
    </font>
    <font>
      <sz val="8"/>
      <color rgb="FF595959"/>
      <name val="Arial"/>
      <charset val="1"/>
    </font>
    <font>
      <b/>
      <sz val="8"/>
      <color rgb="FFC55A11"/>
      <name val="Arial"/>
      <charset val="1"/>
    </font>
    <font>
      <b/>
      <sz val="8"/>
      <color rgb="FF9C2A2A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b/>
      <sz val="9"/>
      <color rgb="FFC55A11"/>
      <name val="Arial"/>
      <charset val="1"/>
    </font>
    <font>
      <b/>
      <sz val="9"/>
      <color rgb="FF0B6E69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9C2A2A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i/>
      <sz val="8"/>
      <color rgb="FF595959"/>
      <name val="Arial"/>
      <charset val="1"/>
    </font>
    <font>
      <b/>
      <sz val="14"/>
      <color rgb="FF1F3864"/>
      <name val="Arial"/>
      <charset val="1"/>
    </font>
    <font>
      <b/>
      <sz val="9"/>
      <color rgb="FFFFFFFF"/>
      <name val="Arial"/>
      <charset val="1"/>
    </font>
    <font>
      <b/>
      <sz val="9"/>
      <color rgb="FF0000FF"/>
      <name val="Arial"/>
      <charset val="1"/>
    </font>
    <font>
      <sz val="9"/>
      <color rgb="FF595959"/>
      <name val="Arial"/>
      <charset val="1"/>
    </font>
    <font>
      <sz val="9"/>
      <color rgb="FF0000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3F0"/>
        <bgColor rgb="FFD5EEEC"/>
      </patternFill>
    </fill>
    <fill>
      <patternFill patternType="solid">
        <fgColor rgb="FFD5EEEC"/>
        <bgColor rgb="FFDCE3F0"/>
      </patternFill>
    </fill>
    <fill>
      <patternFill patternType="solid">
        <fgColor rgb="FFFBE5D6"/>
        <bgColor rgb="FFF4DADA"/>
      </patternFill>
    </fill>
    <fill>
      <patternFill patternType="solid">
        <fgColor rgb="FFF4DADA"/>
        <bgColor rgb="FFFBE5D6"/>
      </patternFill>
    </fill>
    <fill>
      <patternFill patternType="solid">
        <fgColor rgb="FFC55A11"/>
        <bgColor rgb="FF9C2A2A"/>
      </patternFill>
    </fill>
    <fill>
      <patternFill patternType="solid">
        <fgColor rgb="FF0B6E69"/>
        <bgColor rgb="FF00804A"/>
      </patternFill>
    </fill>
    <fill>
      <patternFill patternType="solid">
        <fgColor rgb="FF9C2A2A"/>
        <bgColor rgb="FF993366"/>
      </patternFill>
    </fill>
    <fill>
      <patternFill patternType="solid">
        <fgColor rgb="FFFFF2CC"/>
        <bgColor rgb="FFFBE5D6"/>
      </patternFill>
    </fill>
  </fills>
  <borders count="7">
    <border>
      <left/>
      <right/>
      <top/>
      <bottom/>
      <diagonal/>
    </border>
    <border>
      <left style="thick">
        <color rgb="FF1F3864"/>
      </left>
      <right style="thin">
        <color rgb="FFFFFFFF"/>
      </right>
      <top/>
      <bottom/>
      <diagonal/>
    </border>
    <border>
      <left style="thick">
        <color rgb="FF0B6E69"/>
      </left>
      <right style="thin">
        <color rgb="FFFFFFFF"/>
      </right>
      <top/>
      <bottom/>
      <diagonal/>
    </border>
    <border>
      <left style="thick">
        <color rgb="FFC55A11"/>
      </left>
      <right style="thin">
        <color rgb="FFFFFFFF"/>
      </right>
      <top/>
      <bottom/>
      <diagonal/>
    </border>
    <border>
      <left style="thick">
        <color rgb="FF9C2A2A"/>
      </left>
      <right style="thin">
        <color rgb="FFFFFFFF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808080"/>
      </top>
      <bottom style="thin">
        <color rgb="FFD9D9D9"/>
      </bottom>
      <diagonal/>
    </border>
  </borders>
  <cellStyleXfs count="1">
    <xf numFmtId="0" fontId="0" fillId="0" borderId="0"/>
  </cellStyleXfs>
  <cellXfs count="89">
    <xf numFmtId="0" fontId="0" fillId="0" borderId="0" xfId="0"/>
    <xf numFmtId="164" fontId="5" fillId="5" borderId="3" xfId="0" applyNumberFormat="1" applyFont="1" applyFill="1" applyBorder="1" applyAlignment="1">
      <alignment horizontal="left" vertical="center" indent="1"/>
    </xf>
    <xf numFmtId="0" fontId="8" fillId="6" borderId="4" xfId="0" applyFont="1" applyFill="1" applyBorder="1" applyAlignment="1">
      <alignment indent="1"/>
    </xf>
    <xf numFmtId="0" fontId="7" fillId="5" borderId="3" xfId="0" applyFont="1" applyFill="1" applyBorder="1" applyAlignment="1">
      <alignment indent="1"/>
    </xf>
    <xf numFmtId="0" fontId="6" fillId="4" borderId="2" xfId="0" applyFont="1" applyFill="1" applyBorder="1" applyAlignment="1">
      <alignment vertical="top" indent="1"/>
    </xf>
    <xf numFmtId="0" fontId="6" fillId="3" borderId="1" xfId="0" applyFont="1" applyFill="1" applyBorder="1" applyAlignment="1">
      <alignment vertical="top" indent="1"/>
    </xf>
    <xf numFmtId="167" fontId="5" fillId="4" borderId="2" xfId="0" applyNumberFormat="1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166" fontId="5" fillId="3" borderId="1" xfId="0" applyNumberFormat="1" applyFont="1" applyFill="1" applyBorder="1" applyAlignment="1">
      <alignment horizontal="left" vertical="center" indent="1"/>
    </xf>
    <xf numFmtId="165" fontId="5" fillId="3" borderId="1" xfId="0" applyNumberFormat="1" applyFont="1" applyFill="1" applyBorder="1" applyAlignment="1">
      <alignment horizontal="left" vertical="center" indent="1"/>
    </xf>
    <xf numFmtId="164" fontId="5" fillId="3" borderId="1" xfId="0" applyNumberFormat="1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indent="1"/>
    </xf>
    <xf numFmtId="0" fontId="3" fillId="3" borderId="1" xfId="0" applyFont="1" applyFill="1" applyBorder="1" applyAlignment="1">
      <alignment indent="1"/>
    </xf>
    <xf numFmtId="0" fontId="2" fillId="0" borderId="0" xfId="0" applyFont="1" applyBorder="1" applyAlignment="1">
      <alignment indent="1"/>
    </xf>
    <xf numFmtId="0" fontId="1" fillId="2" borderId="0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right" wrapText="1"/>
    </xf>
    <xf numFmtId="0" fontId="7" fillId="5" borderId="0" xfId="0" applyFont="1" applyFill="1" applyAlignment="1">
      <alignment horizontal="left" wrapText="1"/>
    </xf>
    <xf numFmtId="0" fontId="7" fillId="5" borderId="0" xfId="0" applyFont="1" applyFill="1" applyAlignment="1">
      <alignment horizontal="right" wrapText="1"/>
    </xf>
    <xf numFmtId="0" fontId="4" fillId="4" borderId="0" xfId="0" applyFont="1" applyFill="1" applyAlignment="1">
      <alignment horizontal="left" wrapText="1"/>
    </xf>
    <xf numFmtId="0" fontId="4" fillId="4" borderId="0" xfId="0" applyFont="1" applyFill="1" applyAlignment="1">
      <alignment horizontal="right" wrapText="1"/>
    </xf>
    <xf numFmtId="0" fontId="13" fillId="0" borderId="5" xfId="0" applyFont="1" applyBorder="1" applyAlignment="1">
      <alignment horizontal="left"/>
    </xf>
    <xf numFmtId="168" fontId="13" fillId="0" borderId="5" xfId="0" applyNumberFormat="1" applyFont="1" applyBorder="1" applyAlignment="1">
      <alignment horizontal="right"/>
    </xf>
    <xf numFmtId="165" fontId="13" fillId="0" borderId="5" xfId="0" applyNumberFormat="1" applyFont="1" applyBorder="1" applyAlignment="1">
      <alignment horizontal="right"/>
    </xf>
    <xf numFmtId="169" fontId="13" fillId="0" borderId="5" xfId="0" applyNumberFormat="1" applyFont="1" applyBorder="1" applyAlignment="1">
      <alignment horizontal="right"/>
    </xf>
    <xf numFmtId="170" fontId="13" fillId="0" borderId="5" xfId="0" applyNumberFormat="1" applyFont="1" applyBorder="1" applyAlignment="1">
      <alignment horizontal="right"/>
    </xf>
    <xf numFmtId="3" fontId="13" fillId="0" borderId="5" xfId="0" applyNumberFormat="1" applyFont="1" applyBorder="1" applyAlignment="1">
      <alignment horizontal="right"/>
    </xf>
    <xf numFmtId="10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3" fontId="14" fillId="0" borderId="6" xfId="0" applyNumberFormat="1" applyFont="1" applyBorder="1" applyAlignment="1">
      <alignment horizontal="right"/>
    </xf>
    <xf numFmtId="168" fontId="14" fillId="0" borderId="6" xfId="0" applyNumberFormat="1" applyFont="1" applyBorder="1" applyAlignment="1">
      <alignment horizontal="right"/>
    </xf>
    <xf numFmtId="10" fontId="14" fillId="0" borderId="6" xfId="0" applyNumberFormat="1" applyFont="1" applyBorder="1" applyAlignment="1">
      <alignment horizontal="right"/>
    </xf>
    <xf numFmtId="0" fontId="14" fillId="0" borderId="6" xfId="0" applyFont="1" applyBorder="1" applyAlignment="1">
      <alignment horizontal="left" indent="1"/>
    </xf>
    <xf numFmtId="165" fontId="14" fillId="0" borderId="6" xfId="0" applyNumberFormat="1" applyFont="1" applyBorder="1" applyAlignment="1">
      <alignment horizontal="right"/>
    </xf>
    <xf numFmtId="169" fontId="14" fillId="0" borderId="6" xfId="0" applyNumberFormat="1" applyFont="1" applyBorder="1" applyAlignment="1">
      <alignment horizontal="right"/>
    </xf>
    <xf numFmtId="170" fontId="14" fillId="0" borderId="6" xfId="0" applyNumberFormat="1" applyFont="1" applyBorder="1" applyAlignment="1">
      <alignment horizontal="right"/>
    </xf>
    <xf numFmtId="4" fontId="13" fillId="0" borderId="5" xfId="0" applyNumberFormat="1" applyFont="1" applyBorder="1" applyAlignment="1">
      <alignment horizontal="right"/>
    </xf>
    <xf numFmtId="4" fontId="14" fillId="0" borderId="6" xfId="0" applyNumberFormat="1" applyFont="1" applyBorder="1" applyAlignment="1">
      <alignment horizontal="right"/>
    </xf>
    <xf numFmtId="171" fontId="13" fillId="0" borderId="5" xfId="0" applyNumberFormat="1" applyFont="1" applyBorder="1" applyAlignment="1">
      <alignment horizontal="right"/>
    </xf>
    <xf numFmtId="0" fontId="8" fillId="6" borderId="0" xfId="0" applyFont="1" applyFill="1" applyAlignment="1">
      <alignment horizontal="left" vertical="center" wrapText="1"/>
    </xf>
    <xf numFmtId="172" fontId="17" fillId="0" borderId="5" xfId="0" applyNumberFormat="1" applyFont="1" applyBorder="1" applyAlignment="1">
      <alignment horizontal="right" vertical="center" wrapText="1"/>
    </xf>
    <xf numFmtId="0" fontId="19" fillId="0" borderId="0" xfId="0" applyFont="1"/>
    <xf numFmtId="0" fontId="16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20" fillId="2" borderId="0" xfId="0" applyFont="1" applyFill="1"/>
    <xf numFmtId="0" fontId="13" fillId="0" borderId="0" xfId="0" applyFont="1"/>
    <xf numFmtId="165" fontId="21" fillId="10" borderId="0" xfId="0" applyNumberFormat="1" applyFont="1" applyFill="1"/>
    <xf numFmtId="0" fontId="22" fillId="0" borderId="0" xfId="0" applyFont="1"/>
    <xf numFmtId="0" fontId="21" fillId="10" borderId="0" xfId="0" applyFont="1" applyFill="1"/>
    <xf numFmtId="0" fontId="2" fillId="0" borderId="0" xfId="0" applyFont="1"/>
    <xf numFmtId="0" fontId="20" fillId="0" borderId="0" xfId="0" applyFont="1"/>
    <xf numFmtId="0" fontId="17" fillId="0" borderId="0" xfId="0" applyFont="1"/>
    <xf numFmtId="171" fontId="17" fillId="0" borderId="0" xfId="0" applyNumberFormat="1" applyFont="1"/>
    <xf numFmtId="3" fontId="17" fillId="0" borderId="0" xfId="0" applyNumberFormat="1" applyFont="1"/>
    <xf numFmtId="4" fontId="17" fillId="0" borderId="0" xfId="0" applyNumberFormat="1" applyFont="1"/>
    <xf numFmtId="10" fontId="17" fillId="0" borderId="0" xfId="0" applyNumberFormat="1" applyFont="1"/>
    <xf numFmtId="165" fontId="17" fillId="0" borderId="0" xfId="0" applyNumberFormat="1" applyFont="1"/>
    <xf numFmtId="168" fontId="17" fillId="0" borderId="0" xfId="0" applyNumberFormat="1" applyFont="1"/>
    <xf numFmtId="169" fontId="17" fillId="0" borderId="0" xfId="0" applyNumberFormat="1" applyFont="1"/>
    <xf numFmtId="170" fontId="17" fillId="0" borderId="0" xfId="0" applyNumberFormat="1" applyFont="1"/>
    <xf numFmtId="0" fontId="14" fillId="0" borderId="0" xfId="0" applyFont="1"/>
    <xf numFmtId="3" fontId="23" fillId="0" borderId="0" xfId="0" applyNumberFormat="1" applyFont="1"/>
    <xf numFmtId="168" fontId="23" fillId="0" borderId="0" xfId="0" applyNumberFormat="1" applyFont="1"/>
    <xf numFmtId="0" fontId="20" fillId="7" borderId="0" xfId="0" applyFont="1" applyFill="1"/>
    <xf numFmtId="3" fontId="13" fillId="0" borderId="0" xfId="0" applyNumberFormat="1" applyFont="1"/>
    <xf numFmtId="4" fontId="13" fillId="0" borderId="0" xfId="0" applyNumberFormat="1" applyFont="1"/>
    <xf numFmtId="10" fontId="13" fillId="0" borderId="0" xfId="0" applyNumberFormat="1" applyFont="1"/>
    <xf numFmtId="0" fontId="0" fillId="0" borderId="0" xfId="0" applyFont="1"/>
    <xf numFmtId="165" fontId="13" fillId="0" borderId="0" xfId="0" applyNumberFormat="1" applyFont="1"/>
    <xf numFmtId="169" fontId="13" fillId="0" borderId="0" xfId="0" applyNumberFormat="1" applyFont="1"/>
    <xf numFmtId="168" fontId="13" fillId="0" borderId="0" xfId="0" applyNumberFormat="1" applyFont="1"/>
    <xf numFmtId="0" fontId="5" fillId="5" borderId="3" xfId="0" applyFont="1" applyFill="1" applyBorder="1" applyAlignment="1">
      <alignment horizontal="left" vertical="center" indent="1"/>
    </xf>
    <xf numFmtId="0" fontId="5" fillId="6" borderId="4" xfId="0" applyFont="1" applyFill="1" applyBorder="1" applyAlignment="1">
      <alignment horizontal="left" vertical="center" indent="1"/>
    </xf>
    <xf numFmtId="0" fontId="6" fillId="5" borderId="3" xfId="0" applyFont="1" applyFill="1" applyBorder="1" applyAlignment="1">
      <alignment vertical="top" indent="1"/>
    </xf>
    <xf numFmtId="0" fontId="6" fillId="6" borderId="4" xfId="0" applyFont="1" applyFill="1" applyBorder="1" applyAlignment="1">
      <alignment vertical="top" indent="1"/>
    </xf>
    <xf numFmtId="0" fontId="9" fillId="2" borderId="0" xfId="0" applyFont="1" applyFill="1" applyBorder="1" applyAlignment="1">
      <alignment vertical="center"/>
    </xf>
    <xf numFmtId="0" fontId="9" fillId="7" borderId="0" xfId="0" applyFont="1" applyFill="1" applyBorder="1" applyAlignment="1">
      <alignment vertical="center"/>
    </xf>
    <xf numFmtId="0" fontId="9" fillId="8" borderId="0" xfId="0" applyFont="1" applyFill="1" applyBorder="1" applyAlignment="1">
      <alignment vertical="center"/>
    </xf>
    <xf numFmtId="0" fontId="10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9" fillId="9" borderId="0" xfId="0" applyFont="1" applyFill="1" applyBorder="1" applyAlignment="1">
      <alignment vertical="center"/>
    </xf>
    <xf numFmtId="0" fontId="15" fillId="0" borderId="0" xfId="0" applyFont="1" applyBorder="1"/>
    <xf numFmtId="0" fontId="8" fillId="6" borderId="0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0" borderId="0" xfId="0" applyFont="1" applyBorder="1" applyAlignment="1">
      <alignment vertical="top" wrapText="1"/>
    </xf>
    <xf numFmtId="0" fontId="4" fillId="0" borderId="0" xfId="0" applyFont="1" applyBorder="1"/>
  </cellXfs>
  <cellStyles count="1">
    <cellStyle name="Normal" xfId="0" builtinId="0"/>
  </cellStyles>
  <dxfs count="19"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ont>
        <b/>
        <color rgb="FFC00000"/>
      </font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ont>
        <b/>
        <color rgb="FFC00000"/>
      </font>
    </dxf>
    <dxf>
      <font>
        <b/>
        <color rgb="FF00804A"/>
      </font>
    </dxf>
    <dxf>
      <font>
        <b/>
        <color rgb="FFC00000"/>
      </font>
    </dxf>
    <dxf>
      <font>
        <b/>
      </font>
      <fill>
        <patternFill>
          <bgColor rgb="FFA9D08E"/>
        </patternFill>
      </fill>
    </dxf>
    <dxf>
      <font>
        <b/>
      </font>
      <fill>
        <patternFill>
          <bgColor rgb="FFFFC000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B6E69"/>
      <rgbColor rgb="FFA9D08E"/>
      <rgbColor rgb="FF808080"/>
      <rgbColor rgb="FF8EA9DB"/>
      <rgbColor rgb="FF993366"/>
      <rgbColor rgb="FFFFF2CC"/>
      <rgbColor rgb="FFD5EE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4A"/>
      <rgbColor rgb="FF0000FF"/>
      <rgbColor rgb="FF00CCFF"/>
      <rgbColor rgb="FFDCE3F0"/>
      <rgbColor rgb="FFC6EFCE"/>
      <rgbColor rgb="FFFFE699"/>
      <rgbColor rgb="FFF4DADA"/>
      <rgbColor rgb="FFF4B183"/>
      <rgbColor rgb="FFFBE5D6"/>
      <rgbColor rgb="FFF8CBAD"/>
      <rgbColor rgb="FF3366FF"/>
      <rgbColor rgb="FF33CCCC"/>
      <rgbColor rgb="FF99CC00"/>
      <rgbColor rgb="FFFFC000"/>
      <rgbColor rgb="FFFF9900"/>
      <rgbColor rgb="FFC55A11"/>
      <rgbColor rgb="FF595959"/>
      <rgbColor rgb="FF878787"/>
      <rgbColor rgb="FF1F3864"/>
      <rgbColor rgb="FF339966"/>
      <rgbColor rgb="FF003300"/>
      <rgbColor rgb="FF333300"/>
      <rgbColor rgb="FF9C2A2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Dashboard!$C$16</c:f>
              <c:strCache>
                <c:ptCount val="1"/>
                <c:pt idx="0">
                  <c:v>M PLN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Dashboard!$B$17:$B$22</c:f>
              <c:strCache>
                <c:ptCount val="6"/>
                <c:pt idx="0">
                  <c:v>IT Hardware</c:v>
                </c:pt>
                <c:pt idx="1">
                  <c:v>Marketing Services</c:v>
                </c:pt>
                <c:pt idx="2">
                  <c:v>Media &amp; Energy</c:v>
                </c:pt>
                <c:pt idx="3">
                  <c:v>Logistics</c:v>
                </c:pt>
                <c:pt idx="4">
                  <c:v>Raw Materials</c:v>
                </c:pt>
                <c:pt idx="5">
                  <c:v>Office Supplies</c:v>
                </c:pt>
              </c:strCache>
            </c:strRef>
          </c:cat>
          <c:val>
            <c:numRef>
              <c:f>Dashboard!$C$17:$C$22</c:f>
              <c:numCache>
                <c:formatCode>#,##0.0</c:formatCode>
                <c:ptCount val="6"/>
                <c:pt idx="0">
                  <c:v>3999.58</c:v>
                </c:pt>
                <c:pt idx="1">
                  <c:v>1218.8600000000001</c:v>
                </c:pt>
                <c:pt idx="2">
                  <c:v>631.89</c:v>
                </c:pt>
                <c:pt idx="3">
                  <c:v>240.39</c:v>
                </c:pt>
                <c:pt idx="4">
                  <c:v>164.89</c:v>
                </c:pt>
                <c:pt idx="5">
                  <c:v>39.89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C-4DB8-9111-A96A6B2DC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9698472"/>
        <c:axId val="94295784"/>
      </c:barChart>
      <c:catAx>
        <c:axId val="29698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95784"/>
        <c:crosses val="autoZero"/>
        <c:auto val="1"/>
        <c:lblAlgn val="ctr"/>
        <c:lblOffset val="100"/>
        <c:noMultiLvlLbl val="0"/>
      </c:catAx>
      <c:valAx>
        <c:axId val="9429578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6984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Dashboard!$C$26</c:f>
              <c:strCache>
                <c:ptCount val="1"/>
                <c:pt idx="0">
                  <c:v>2024</c:v>
                </c:pt>
              </c:strCache>
            </c:strRef>
          </c:tx>
          <c:spPr>
            <a:ln w="47520">
              <a:solidFill>
                <a:srgbClr val="8EA9D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Dashboard!$C$27:$C$38</c:f>
              <c:numCache>
                <c:formatCode>#,##0.0</c:formatCode>
                <c:ptCount val="12"/>
                <c:pt idx="0">
                  <c:v>256.8</c:v>
                </c:pt>
                <c:pt idx="1">
                  <c:v>239.6</c:v>
                </c:pt>
                <c:pt idx="2">
                  <c:v>262.39999999999998</c:v>
                </c:pt>
                <c:pt idx="3">
                  <c:v>244.1</c:v>
                </c:pt>
                <c:pt idx="4">
                  <c:v>260</c:v>
                </c:pt>
                <c:pt idx="5">
                  <c:v>255.6</c:v>
                </c:pt>
                <c:pt idx="6">
                  <c:v>260.39999999999998</c:v>
                </c:pt>
                <c:pt idx="7">
                  <c:v>290.8</c:v>
                </c:pt>
                <c:pt idx="8">
                  <c:v>302.89999999999998</c:v>
                </c:pt>
                <c:pt idx="9">
                  <c:v>264.2</c:v>
                </c:pt>
                <c:pt idx="10">
                  <c:v>255.9</c:v>
                </c:pt>
                <c:pt idx="11">
                  <c:v>257.2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B-4A88-BD49-ED11D24F2271}"/>
            </c:ext>
          </c:extLst>
        </c:ser>
        <c:ser>
          <c:idx val="1"/>
          <c:order val="1"/>
          <c:tx>
            <c:strRef>
              <c:f>Dashboard!$D$26</c:f>
              <c:strCache>
                <c:ptCount val="1"/>
                <c:pt idx="0">
                  <c:v>2025</c:v>
                </c:pt>
              </c:strCache>
            </c:strRef>
          </c:tx>
          <c:spPr>
            <a:ln w="4752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Dashboard!$D$27:$D$38</c:f>
              <c:numCache>
                <c:formatCode>#,##0.0</c:formatCode>
                <c:ptCount val="12"/>
                <c:pt idx="0">
                  <c:v>261.10000000000002</c:v>
                </c:pt>
                <c:pt idx="1">
                  <c:v>236.1</c:v>
                </c:pt>
                <c:pt idx="2">
                  <c:v>282</c:v>
                </c:pt>
                <c:pt idx="3">
                  <c:v>255.5</c:v>
                </c:pt>
                <c:pt idx="4">
                  <c:v>271.3</c:v>
                </c:pt>
                <c:pt idx="5">
                  <c:v>254.9</c:v>
                </c:pt>
                <c:pt idx="6">
                  <c:v>262.8</c:v>
                </c:pt>
                <c:pt idx="7">
                  <c:v>272.5</c:v>
                </c:pt>
                <c:pt idx="8">
                  <c:v>261.10000000000002</c:v>
                </c:pt>
                <c:pt idx="9">
                  <c:v>270.2</c:v>
                </c:pt>
                <c:pt idx="10">
                  <c:v>261.89999999999998</c:v>
                </c:pt>
                <c:pt idx="11">
                  <c:v>255.9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B-4A88-BD49-ED11D24F2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313385"/>
        <c:axId val="64341025"/>
      </c:lineChart>
      <c:catAx>
        <c:axId val="79313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341025"/>
        <c:crosses val="autoZero"/>
        <c:auto val="1"/>
        <c:lblAlgn val="ctr"/>
        <c:lblOffset val="100"/>
        <c:noMultiLvlLbl val="0"/>
      </c:catAx>
      <c:valAx>
        <c:axId val="64341025"/>
        <c:scaling>
          <c:orientation val="minMax"/>
          <c:min val="2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13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Calculations!$G$1</c:f>
              <c:strCache>
                <c:ptCount val="1"/>
                <c:pt idx="0">
                  <c:v>M PLN – price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Calculations!$D$2:$D$7</c:f>
              <c:strCache>
                <c:ptCount val="6"/>
                <c:pt idx="0">
                  <c:v>IT Hardware</c:v>
                </c:pt>
                <c:pt idx="1">
                  <c:v>Marketing Services</c:v>
                </c:pt>
                <c:pt idx="2">
                  <c:v>Media &amp; Energy</c:v>
                </c:pt>
                <c:pt idx="3">
                  <c:v>Logistics</c:v>
                </c:pt>
                <c:pt idx="4">
                  <c:v>Raw Materials</c:v>
                </c:pt>
                <c:pt idx="5">
                  <c:v>Office Supplies</c:v>
                </c:pt>
              </c:strCache>
            </c:strRef>
          </c:cat>
          <c:val>
            <c:numRef>
              <c:f>Calculations!$G$2:$G$7</c:f>
              <c:numCache>
                <c:formatCode>#,##0.00</c:formatCode>
                <c:ptCount val="6"/>
                <c:pt idx="0">
                  <c:v>14.650048230000001</c:v>
                </c:pt>
                <c:pt idx="1">
                  <c:v>7.5635870599999997</c:v>
                </c:pt>
                <c:pt idx="2">
                  <c:v>0.45500036999999999</c:v>
                </c:pt>
                <c:pt idx="3">
                  <c:v>3.0265871500000001</c:v>
                </c:pt>
                <c:pt idx="4">
                  <c:v>0.82894886999999995</c:v>
                </c:pt>
                <c:pt idx="5">
                  <c:v>0.39413992000000009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5-4C3A-B805-D6C8150D715C}"/>
            </c:ext>
          </c:extLst>
        </c:ser>
        <c:ser>
          <c:idx val="1"/>
          <c:order val="1"/>
          <c:tx>
            <c:strRef>
              <c:f>Calculations!$H$1</c:f>
              <c:strCache>
                <c:ptCount val="1"/>
                <c:pt idx="0">
                  <c:v>M PLN – quantity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Calculations!$D$2:$D$7</c:f>
              <c:strCache>
                <c:ptCount val="6"/>
                <c:pt idx="0">
                  <c:v>IT Hardware</c:v>
                </c:pt>
                <c:pt idx="1">
                  <c:v>Marketing Services</c:v>
                </c:pt>
                <c:pt idx="2">
                  <c:v>Media &amp; Energy</c:v>
                </c:pt>
                <c:pt idx="3">
                  <c:v>Logistics</c:v>
                </c:pt>
                <c:pt idx="4">
                  <c:v>Raw Materials</c:v>
                </c:pt>
                <c:pt idx="5">
                  <c:v>Office Supplies</c:v>
                </c:pt>
              </c:strCache>
            </c:strRef>
          </c:cat>
          <c:val>
            <c:numRef>
              <c:f>Calculations!$H$2:$H$7</c:f>
              <c:numCache>
                <c:formatCode>#,##0.00</c:formatCode>
                <c:ptCount val="6"/>
                <c:pt idx="0">
                  <c:v>95.911849000000004</c:v>
                </c:pt>
                <c:pt idx="1">
                  <c:v>44.363703999999998</c:v>
                </c:pt>
                <c:pt idx="2">
                  <c:v>10.623082</c:v>
                </c:pt>
                <c:pt idx="3">
                  <c:v>7.4504520000000003</c:v>
                </c:pt>
                <c:pt idx="4">
                  <c:v>5.8048630000000001</c:v>
                </c:pt>
                <c:pt idx="5">
                  <c:v>1.333944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5-4C3A-B805-D6C8150D7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93864280"/>
        <c:axId val="53911252"/>
      </c:barChart>
      <c:catAx>
        <c:axId val="93864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11252"/>
        <c:crosses val="autoZero"/>
        <c:auto val="1"/>
        <c:lblAlgn val="ctr"/>
        <c:lblOffset val="100"/>
        <c:noMultiLvlLbl val="0"/>
      </c:catAx>
      <c:valAx>
        <c:axId val="539112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8642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Dashboard!$O$16</c:f>
              <c:strCache>
                <c:ptCount val="1"/>
                <c:pt idx="0">
                  <c:v>M PLN</c:v>
                </c:pt>
              </c:strCache>
            </c:strRef>
          </c:tx>
          <c:spPr>
            <a:solidFill>
              <a:srgbClr val="0B6E6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Dashboard!$N$17:$N$26</c:f>
              <c:strCache>
                <c:ptCount val="10"/>
                <c:pt idx="0">
                  <c:v>SUP-18</c:v>
                </c:pt>
                <c:pt idx="1">
                  <c:v>SUP-46</c:v>
                </c:pt>
                <c:pt idx="2">
                  <c:v>SUP-12</c:v>
                </c:pt>
                <c:pt idx="3">
                  <c:v>SUP-14</c:v>
                </c:pt>
                <c:pt idx="4">
                  <c:v>SUP-30</c:v>
                </c:pt>
                <c:pt idx="5">
                  <c:v>SUP-27</c:v>
                </c:pt>
                <c:pt idx="6">
                  <c:v>SUP-47</c:v>
                </c:pt>
                <c:pt idx="7">
                  <c:v>SUP-44</c:v>
                </c:pt>
                <c:pt idx="8">
                  <c:v>SUP-05</c:v>
                </c:pt>
                <c:pt idx="9">
                  <c:v>SUP-39</c:v>
                </c:pt>
              </c:strCache>
            </c:strRef>
          </c:cat>
          <c:val>
            <c:numRef>
              <c:f>Dashboard!$O$17:$O$26</c:f>
              <c:numCache>
                <c:formatCode>#,##0.0</c:formatCode>
                <c:ptCount val="10"/>
                <c:pt idx="0">
                  <c:v>179.75337500000001</c:v>
                </c:pt>
                <c:pt idx="1">
                  <c:v>159.93085300000001</c:v>
                </c:pt>
                <c:pt idx="2">
                  <c:v>148.03815299999999</c:v>
                </c:pt>
                <c:pt idx="3">
                  <c:v>147.78607500000001</c:v>
                </c:pt>
                <c:pt idx="4">
                  <c:v>143.31573700000001</c:v>
                </c:pt>
                <c:pt idx="5">
                  <c:v>135.62601799999999</c:v>
                </c:pt>
                <c:pt idx="6">
                  <c:v>133.40017700000001</c:v>
                </c:pt>
                <c:pt idx="7">
                  <c:v>131.41236699999999</c:v>
                </c:pt>
                <c:pt idx="8">
                  <c:v>131.264849</c:v>
                </c:pt>
                <c:pt idx="9">
                  <c:v>130.93815900000001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8-4EA5-BB85-B1AB134B0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25923"/>
        <c:axId val="34585030"/>
      </c:barChart>
      <c:catAx>
        <c:axId val="13259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585030"/>
        <c:crosses val="autoZero"/>
        <c:auto val="1"/>
        <c:lblAlgn val="ctr"/>
        <c:lblOffset val="100"/>
        <c:noMultiLvlLbl val="0"/>
      </c:catAx>
      <c:valAx>
        <c:axId val="34585030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59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</xdr:colOff>
      <xdr:row>57</xdr:row>
      <xdr:rowOff>124057</xdr:rowOff>
    </xdr:from>
    <xdr:to>
      <xdr:col>7</xdr:col>
      <xdr:colOff>2599</xdr:colOff>
      <xdr:row>71</xdr:row>
      <xdr:rowOff>156817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40</xdr:row>
      <xdr:rowOff>134640</xdr:rowOff>
    </xdr:from>
    <xdr:to>
      <xdr:col>6</xdr:col>
      <xdr:colOff>129600</xdr:colOff>
      <xdr:row>54</xdr:row>
      <xdr:rowOff>167040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10584</xdr:colOff>
      <xdr:row>57</xdr:row>
      <xdr:rowOff>124057</xdr:rowOff>
    </xdr:from>
    <xdr:to>
      <xdr:col>11</xdr:col>
      <xdr:colOff>1014564</xdr:colOff>
      <xdr:row>71</xdr:row>
      <xdr:rowOff>156817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57</xdr:row>
      <xdr:rowOff>145223</xdr:rowOff>
    </xdr:from>
    <xdr:to>
      <xdr:col>17</xdr:col>
      <xdr:colOff>763920</xdr:colOff>
      <xdr:row>71</xdr:row>
      <xdr:rowOff>177983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nomalies" displayName="tAnomalies" ref="A1:I81" totalsRowShown="0">
  <autoFilter ref="A1:I81" xr:uid="{00000000-0009-0000-0100-000001000000}"/>
  <tableColumns count="9">
    <tableColumn id="1" xr3:uid="{00000000-0010-0000-0000-000001000000}" name="Order_ID"/>
    <tableColumn id="2" xr3:uid="{00000000-0010-0000-0000-000002000000}" name="Date"/>
    <tableColumn id="3" xr3:uid="{00000000-0010-0000-0000-000003000000}" name="Category"/>
    <tableColumn id="4" xr3:uid="{00000000-0010-0000-0000-000004000000}" name="Supplier"/>
    <tableColumn id="5" xr3:uid="{00000000-0010-0000-0000-000005000000}" name="Quantity"/>
    <tableColumn id="6" xr3:uid="{00000000-0010-0000-0000-000006000000}" name="Unit_price_PLN"/>
    <tableColumn id="7" xr3:uid="{00000000-0010-0000-0000-000007000000}" name="Buyer"/>
    <tableColumn id="8" xr3:uid="{00000000-0010-0000-0000-000008000000}" name="Anomaly_type"/>
    <tableColumn id="9" xr3:uid="{00000000-0010-0000-0000-000009000000}" name="Value_PL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Suppliers" displayName="tSuppliers" ref="A1:P51" totalsRowShown="0">
  <autoFilter ref="A1:P51" xr:uid="{00000000-0009-0000-0100-000006000000}"/>
  <tableColumns count="16">
    <tableColumn id="1" xr3:uid="{00000000-0010-0000-0100-000001000000}" name="Supplier"/>
    <tableColumn id="2" xr3:uid="{00000000-0010-0000-0100-000002000000}" name="Spend_PLN"/>
    <tableColumn id="3" xr3:uid="{00000000-0010-0000-0100-000003000000}" name="Txn_count"/>
    <tableColumn id="4" xr3:uid="{00000000-0010-0000-0100-000004000000}" name="Avg_txn_value"/>
    <tableColumn id="5" xr3:uid="{00000000-0010-0000-0100-000005000000}" name="Spend_share"/>
    <tableColumn id="6" xr3:uid="{00000000-0010-0000-0100-000006000000}" name="Anomaly_count"/>
    <tableColumn id="7" xr3:uid="{00000000-0010-0000-0100-000007000000}" name="Anomaly_value_PLN"/>
    <tableColumn id="8" xr3:uid="{00000000-0010-0000-0100-000008000000}" name="Risk_rating"/>
    <tableColumn id="9" xr3:uid="{00000000-0010-0000-0100-000009000000}" name="Cumulative_share"/>
    <tableColumn id="10" xr3:uid="{00000000-0010-0000-0100-00000A000000}" name="IT Hardware"/>
    <tableColumn id="11" xr3:uid="{00000000-0010-0000-0100-00000B000000}" name="Marketing Services"/>
    <tableColumn id="12" xr3:uid="{00000000-0010-0000-0100-00000C000000}" name="Media &amp; Energy"/>
    <tableColumn id="13" xr3:uid="{00000000-0010-0000-0100-00000D000000}" name="Logistics"/>
    <tableColumn id="14" xr3:uid="{00000000-0010-0000-0100-00000E000000}" name="Raw Materials"/>
    <tableColumn id="15" xr3:uid="{00000000-0010-0000-0100-00000F000000}" name="Office Supplies"/>
    <tableColumn id="16" xr3:uid="{00000000-0010-0000-0100-000010000000}" name="Top_anomaly_categor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uyers" displayName="tBuyers" ref="A1:H11" totalsRowShown="0">
  <autoFilter ref="A1:H11" xr:uid="{00000000-0009-0000-0100-000002000000}"/>
  <tableColumns count="8">
    <tableColumn id="1" xr3:uid="{00000000-0010-0000-0200-000001000000}" name="Buyer"/>
    <tableColumn id="2" xr3:uid="{00000000-0010-0000-0200-000002000000}" name="Spend_M_PLN"/>
    <tableColumn id="3" xr3:uid="{00000000-0010-0000-0200-000003000000}" name="Txn_count"/>
    <tableColumn id="4" xr3:uid="{00000000-0010-0000-0200-000004000000}" name="Avg_txn_value_PLN"/>
    <tableColumn id="5" xr3:uid="{00000000-0010-0000-0200-000005000000}" name="Anomaly_count"/>
    <tableColumn id="6" xr3:uid="{00000000-0010-0000-0200-000006000000}" name="Anomaly_value_PLN"/>
    <tableColumn id="7" xr3:uid="{00000000-0010-0000-0200-000007000000}" name="Share_of_anomaly_value"/>
    <tableColumn id="8" xr3:uid="{00000000-0010-0000-0200-000008000000}" name="Leve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Categories" displayName="tCategories" ref="A1:H7" totalsRowShown="0">
  <autoFilter ref="A1:H7" xr:uid="{00000000-0009-0000-0100-000003000000}"/>
  <tableColumns count="8">
    <tableColumn id="1" xr3:uid="{00000000-0010-0000-0300-000001000000}" name="Category"/>
    <tableColumn id="2" xr3:uid="{00000000-0010-0000-0300-000002000000}" name="Spend_2024_M_PLN"/>
    <tableColumn id="3" xr3:uid="{00000000-0010-0000-0300-000003000000}" name="Spend_2025_M_PLN"/>
    <tableColumn id="4" xr3:uid="{00000000-0010-0000-0300-000004000000}" name="Spend_total_M_PLN"/>
    <tableColumn id="5" xr3:uid="{00000000-0010-0000-0300-000005000000}" name="Share"/>
    <tableColumn id="6" xr3:uid="{00000000-0010-0000-0300-000006000000}" name="Change_yy"/>
    <tableColumn id="7" xr3:uid="{00000000-0010-0000-0300-000007000000}" name="Change_M_PLN"/>
    <tableColumn id="8" xr3:uid="{00000000-0010-0000-0300-000008000000}" name="Excess_vs_PPI_M_PL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Months" displayName="tMonths" ref="A1:E13" totalsRowShown="0">
  <autoFilter ref="A1:E13" xr:uid="{00000000-0009-0000-0100-000004000000}"/>
  <tableColumns count="5">
    <tableColumn id="1" xr3:uid="{00000000-0010-0000-0400-000001000000}" name="Month"/>
    <tableColumn id="2" xr3:uid="{00000000-0010-0000-0400-000002000000}" name="Spend_2024_M_PLN"/>
    <tableColumn id="3" xr3:uid="{00000000-0010-0000-0400-000003000000}" name="Spend_2025_M_PLN"/>
    <tableColumn id="4" xr3:uid="{00000000-0010-0000-0400-000004000000}" name="Change_M_PLN"/>
    <tableColumn id="5" xr3:uid="{00000000-0010-0000-0400-000005000000}" name="Change_pc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Outliers" displayName="tOutliers" ref="A1:E7" totalsRowShown="0">
  <autoFilter ref="A1:E7" xr:uid="{00000000-0009-0000-0100-000005000000}"/>
  <tableColumns count="5">
    <tableColumn id="1" xr3:uid="{00000000-0010-0000-0500-000001000000}" name="Category"/>
    <tableColumn id="2" xr3:uid="{00000000-0010-0000-0500-000002000000}" name="Outlier_count"/>
    <tableColumn id="3" xr3:uid="{00000000-0010-0000-0500-000003000000}" name="Value_M_PLN"/>
    <tableColumn id="4" xr3:uid="{00000000-0010-0000-0500-000004000000}" name="Threshold_μ+2σ_PLN_per_unit"/>
    <tableColumn id="5" xr3:uid="{00000000-0010-0000-0500-000005000000}" name="Ris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R94"/>
  <sheetViews>
    <sheetView showGridLines="0" tabSelected="1" zoomScale="175" zoomScaleNormal="175" workbookViewId="0">
      <selection activeCell="X67" sqref="X67"/>
    </sheetView>
  </sheetViews>
  <sheetFormatPr defaultColWidth="8.7109375" defaultRowHeight="15" x14ac:dyDescent="0.25"/>
  <cols>
    <col min="1" max="1" width="2" customWidth="1"/>
    <col min="2" max="2" width="20" customWidth="1"/>
    <col min="3" max="3" width="11" customWidth="1"/>
    <col min="4" max="5" width="10" customWidth="1"/>
    <col min="6" max="6" width="11" customWidth="1"/>
    <col min="7" max="7" width="2" customWidth="1"/>
    <col min="8" max="8" width="20" customWidth="1"/>
    <col min="9" max="9" width="11.85546875" customWidth="1"/>
    <col min="10" max="10" width="11" customWidth="1"/>
    <col min="11" max="11" width="12" customWidth="1"/>
    <col min="12" max="12" width="18" customWidth="1"/>
    <col min="13" max="13" width="2" customWidth="1"/>
    <col min="14" max="14" width="13" customWidth="1"/>
    <col min="15" max="16" width="10" customWidth="1"/>
    <col min="17" max="17" width="20" customWidth="1"/>
    <col min="18" max="18" width="14" customWidth="1"/>
    <col min="19" max="19" width="2" customWidth="1"/>
  </cols>
  <sheetData>
    <row r="2" spans="2:18" ht="21.7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2:18" ht="21.7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2:18" x14ac:dyDescent="0.25">
      <c r="B4" s="13" t="str">
        <f>"Database: "&amp;FIXED(Calculations!$B$3,0)&amp;" transactions  │  "&amp;FIXED(Calculations!$B$2/1000000,1)&amp;" M PLN spend  │  "&amp;Calculations!$B$4&amp;" suppliers, "&amp;Calculations!$B$5&amp;" buyers  │  Anonymised data  │  Author: P. Liberacki"</f>
        <v>Database: 100,000 transactions  │  6,295.6 M PLN spend  │  50 suppliers, 10 buyers  │  Anonymised data  │  Author: P. Liberacki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6" spans="2:18" x14ac:dyDescent="0.25">
      <c r="B6" s="12" t="s">
        <v>1</v>
      </c>
      <c r="C6" s="12"/>
      <c r="D6" s="12"/>
      <c r="E6" s="12" t="s">
        <v>2</v>
      </c>
      <c r="F6" s="12"/>
      <c r="G6" s="12"/>
      <c r="H6" s="12" t="s">
        <v>3</v>
      </c>
      <c r="I6" s="12"/>
      <c r="J6" s="12"/>
      <c r="K6" s="11" t="s">
        <v>4</v>
      </c>
      <c r="L6" s="11"/>
      <c r="M6" s="11"/>
      <c r="N6" s="11" t="s">
        <v>5</v>
      </c>
      <c r="O6" s="11"/>
      <c r="P6" s="11"/>
      <c r="Q6" s="11"/>
      <c r="R6" s="11"/>
    </row>
    <row r="7" spans="2:18" ht="24" customHeight="1" x14ac:dyDescent="0.25">
      <c r="B7" s="10">
        <f>Calculations!$B$2/1000000</f>
        <v>6295.5897729999997</v>
      </c>
      <c r="C7" s="10"/>
      <c r="D7" s="10"/>
      <c r="E7" s="9">
        <f>Calculations!$B$15</f>
        <v>0.63530775951076146</v>
      </c>
      <c r="F7" s="9"/>
      <c r="G7" s="9"/>
      <c r="H7" s="8">
        <f>Calculations!$B$17</f>
        <v>6.9125910333236895E-2</v>
      </c>
      <c r="I7" s="8"/>
      <c r="J7" s="8"/>
      <c r="K7" s="7" t="str">
        <f>Calculations!$B$20&amp;" / "&amp;Calculations!$B$4</f>
        <v>40 / 50</v>
      </c>
      <c r="L7" s="7"/>
      <c r="M7" s="7"/>
      <c r="N7" s="6">
        <f>Calculations!$B$9/1000000</f>
        <v>38.213365000000003</v>
      </c>
      <c r="O7" s="6"/>
      <c r="P7" s="6"/>
      <c r="Q7" s="6"/>
      <c r="R7" s="6"/>
    </row>
    <row r="8" spans="2:18" x14ac:dyDescent="0.25">
      <c r="B8" s="5" t="str">
        <f>"2024–2025  │  "&amp;FIXED(Calculations!$B$3,0)&amp;" txn"</f>
        <v>2024–2025  │  100,000 txn</v>
      </c>
      <c r="C8" s="5"/>
      <c r="D8" s="5"/>
      <c r="E8" s="5" t="str">
        <f>Calculations!$B$16&amp;"  │  limit "&amp;FIXED(Parameters!$B$10*100,0)&amp;"%"</f>
        <v>IT Hardware  │  limit 50%</v>
      </c>
      <c r="F8" s="5"/>
      <c r="G8" s="5"/>
      <c r="H8" s="5" t="str">
        <f>Calculations!$B$18&amp;"  │  PPI ~"&amp;FIXED(Parameters!$B$2*100,1)&amp;"%"</f>
        <v>Marketing Services  │  PPI ~3.5%</v>
      </c>
      <c r="I8" s="5"/>
      <c r="J8" s="5"/>
      <c r="K8" s="4" t="str">
        <f>"suppliers  │  TOP 5 = "&amp;FIXED(Calculations!$B$21*100,1)&amp;"%"</f>
        <v>suppliers  │  TOP 5 = 12.4%</v>
      </c>
      <c r="L8" s="4"/>
      <c r="M8" s="4"/>
      <c r="N8" s="4" t="str">
        <f>Calculations!$B$12&amp;"  │  "&amp;Calculations!$B$13</f>
        <v>SUP-46  │  IT Hardware</v>
      </c>
      <c r="O8" s="4"/>
      <c r="P8" s="4"/>
      <c r="Q8" s="4"/>
      <c r="R8" s="4"/>
    </row>
    <row r="9" spans="2:18" ht="6" customHeight="1" x14ac:dyDescent="0.25"/>
    <row r="10" spans="2:18" x14ac:dyDescent="0.25">
      <c r="B10" s="3" t="s">
        <v>6</v>
      </c>
      <c r="C10" s="3"/>
      <c r="D10" s="3"/>
      <c r="E10" s="3" t="s">
        <v>7</v>
      </c>
      <c r="F10" s="3"/>
      <c r="G10" s="3"/>
      <c r="H10" s="3" t="s">
        <v>8</v>
      </c>
      <c r="I10" s="3"/>
      <c r="J10" s="3"/>
      <c r="K10" s="2" t="s">
        <v>9</v>
      </c>
      <c r="L10" s="2"/>
      <c r="M10" s="2"/>
      <c r="N10" s="2" t="s">
        <v>10</v>
      </c>
      <c r="O10" s="2"/>
      <c r="P10" s="2"/>
      <c r="Q10" s="2"/>
      <c r="R10" s="2"/>
    </row>
    <row r="11" spans="2:18" ht="24" customHeight="1" x14ac:dyDescent="0.25">
      <c r="B11" s="1">
        <f>Calculations!$B$7/1000000</f>
        <v>192.40620559999999</v>
      </c>
      <c r="C11" s="1"/>
      <c r="D11" s="1"/>
      <c r="E11" s="72" t="str">
        <f>Calculations!$E$13&amp;" txn"</f>
        <v>50 txn</v>
      </c>
      <c r="F11" s="72"/>
      <c r="G11" s="72"/>
      <c r="H11" s="72" t="str">
        <f>Calculations!$E$14&amp;" txn"</f>
        <v>30 txn</v>
      </c>
      <c r="I11" s="72"/>
      <c r="J11" s="72"/>
      <c r="K11" s="73" t="str">
        <f>Calculations!$B$26&amp;" txn"</f>
        <v>304 txn</v>
      </c>
      <c r="L11" s="73"/>
      <c r="M11" s="73"/>
      <c r="N11" s="73" t="str">
        <f>FIXED(Calculations!$B$32,0)&amp;" cases"</f>
        <v>2,177 cases</v>
      </c>
      <c r="O11" s="73"/>
      <c r="P11" s="73"/>
      <c r="Q11" s="73"/>
      <c r="R11" s="73"/>
    </row>
    <row r="12" spans="2:18" x14ac:dyDescent="0.25">
      <c r="B12" s="74" t="str">
        <f>FIXED(Calculations!$B$6,0)&amp;" txn  │  "&amp;FIXED(Calculations!$B$8*100,2)&amp;"% spend"</f>
        <v>80 txn  │  3.06% spend</v>
      </c>
      <c r="C12" s="74"/>
      <c r="D12" s="74"/>
      <c r="E12" s="74" t="str">
        <f>FIXED(SUM(Calculations!$G$2:$G$7),1)&amp;" M PLN"</f>
        <v>26.9 M PLN</v>
      </c>
      <c r="F12" s="74"/>
      <c r="G12" s="74"/>
      <c r="H12" s="74" t="str">
        <f>FIXED(SUM(Calculations!$H$2:$H$7),1)&amp;" M PLN"</f>
        <v>165.5 M PLN</v>
      </c>
      <c r="I12" s="74"/>
      <c r="J12" s="74"/>
      <c r="K12" s="75" t="str">
        <f>FIXED(Calculations!$B$27,2)&amp;" M PLN to review"</f>
        <v>63.89 M PLN to review</v>
      </c>
      <c r="L12" s="75"/>
      <c r="M12" s="75"/>
      <c r="N12" s="75" t="str">
        <f>FIXED(Calculations!$B$33,1)&amp;" M PLN"</f>
        <v>284.9 M PLN</v>
      </c>
      <c r="O12" s="75"/>
      <c r="P12" s="75"/>
      <c r="Q12" s="75"/>
      <c r="R12" s="75"/>
    </row>
    <row r="14" spans="2:18" ht="19.5" customHeight="1" x14ac:dyDescent="0.25">
      <c r="B14" s="76" t="s">
        <v>11</v>
      </c>
      <c r="C14" s="76"/>
      <c r="D14" s="76"/>
      <c r="E14" s="76"/>
      <c r="F14" s="76"/>
      <c r="H14" s="77" t="s">
        <v>12</v>
      </c>
      <c r="I14" s="77"/>
      <c r="J14" s="77"/>
      <c r="K14" s="77"/>
      <c r="L14" s="77"/>
      <c r="N14" s="78" t="s">
        <v>13</v>
      </c>
      <c r="O14" s="78"/>
      <c r="P14" s="78"/>
      <c r="Q14" s="78"/>
      <c r="R14" s="78"/>
    </row>
    <row r="15" spans="2:18" x14ac:dyDescent="0.25">
      <c r="B15" s="79" t="s">
        <v>14</v>
      </c>
      <c r="C15" s="79"/>
      <c r="D15" s="79"/>
      <c r="E15" s="79"/>
      <c r="F15" s="79"/>
      <c r="H15" s="80" t="s">
        <v>15</v>
      </c>
      <c r="I15" s="80"/>
      <c r="J15" s="80"/>
      <c r="K15" s="80"/>
      <c r="L15" s="80"/>
      <c r="N15" s="81" t="s">
        <v>16</v>
      </c>
      <c r="O15" s="81"/>
      <c r="P15" s="81"/>
      <c r="Q15" s="81"/>
      <c r="R15" s="81"/>
    </row>
    <row r="16" spans="2:18" x14ac:dyDescent="0.25">
      <c r="B16" s="15" t="s">
        <v>17</v>
      </c>
      <c r="C16" s="16" t="s">
        <v>18</v>
      </c>
      <c r="D16" s="16" t="s">
        <v>19</v>
      </c>
      <c r="E16" s="16" t="s">
        <v>20</v>
      </c>
      <c r="F16" s="16" t="s">
        <v>21</v>
      </c>
      <c r="H16" s="17" t="s">
        <v>22</v>
      </c>
      <c r="I16" s="18" t="s">
        <v>23</v>
      </c>
      <c r="J16" s="18" t="s">
        <v>18</v>
      </c>
      <c r="K16" s="18" t="s">
        <v>24</v>
      </c>
      <c r="L16" s="17" t="s">
        <v>25</v>
      </c>
      <c r="N16" s="19" t="s">
        <v>26</v>
      </c>
      <c r="O16" s="20" t="s">
        <v>18</v>
      </c>
      <c r="P16" s="20" t="s">
        <v>19</v>
      </c>
      <c r="Q16" s="20" t="s">
        <v>23</v>
      </c>
      <c r="R16" s="20" t="s">
        <v>27</v>
      </c>
    </row>
    <row r="17" spans="2:18" x14ac:dyDescent="0.25">
      <c r="B17" s="21" t="str">
        <f>INDEX(Data_Categories!$A$2:$A$7,MATCH(LARGE(Data_Categories!$D$2:$D$7,1),Data_Categories!$D$2:$D$7,0))</f>
        <v>IT Hardware</v>
      </c>
      <c r="C17" s="22">
        <f>INDEX(Data_Categories!$D$2:$D$7,MATCH(LARGE(Data_Categories!$D$2:$D$7,1),Data_Categories!$D$2:$D$7,0))</f>
        <v>3999.58</v>
      </c>
      <c r="D17" s="23">
        <f>INDEX(Data_Categories!$E$2:$E$7,MATCH(LARGE(Data_Categories!$D$2:$D$7,1),Data_Categories!$D$2:$D$7,0))</f>
        <v>0.63530775951076146</v>
      </c>
      <c r="E17" s="24">
        <f>INDEX(Data_Categories!$F$2:$F$7,MATCH(LARGE(Data_Categories!$D$2:$D$7,1),Data_Categories!$D$2:$D$7,0))</f>
        <v>-2.5240081961142469E-2</v>
      </c>
      <c r="F17" s="25">
        <f>INDEX(Data_Categories!$G$2:$G$7,MATCH(LARGE(Data_Categories!$D$2:$D$7,1),Data_Categories!$D$2:$D$7,0))</f>
        <v>-51.119999999999891</v>
      </c>
      <c r="H17" s="21" t="s">
        <v>28</v>
      </c>
      <c r="I17" s="26">
        <f>SUM(Calculations!$E$2:$E$7)</f>
        <v>50</v>
      </c>
      <c r="J17" s="22">
        <f>SUM(Calculations!$G$2:$G$7)</f>
        <v>26.918311600000003</v>
      </c>
      <c r="K17" s="27">
        <f>J17*1000000/Calculations!$B$2</f>
        <v>4.2757410458103559E-3</v>
      </c>
      <c r="L17" s="28" t="str">
        <f>Calculations!$E$11</f>
        <v>Logistics</v>
      </c>
      <c r="N17" s="21" t="str">
        <f>INDEX(Data_Suppliers!$A$2:$A$51,MATCH(LARGE(Data_Suppliers!$B$2:$B$51,1),Data_Suppliers!$B$2:$B$51,0))</f>
        <v>SUP-18</v>
      </c>
      <c r="O17" s="22">
        <f>LARGE(Data_Suppliers!$B$2:$B$51,1)/1000000</f>
        <v>179.75337500000001</v>
      </c>
      <c r="P17" s="27">
        <f>INDEX(Data_Suppliers!$E$2:$E$51,MATCH(LARGE(Data_Suppliers!$B$2:$B$51,1),Data_Suppliers!$B$2:$B$51,0))</f>
        <v>2.8552269363374225E-2</v>
      </c>
      <c r="Q17" s="26">
        <f>INDEX(Data_Suppliers!$C$2:$C$51,MATCH(LARGE(Data_Suppliers!$B$2:$B$51,1),Data_Suppliers!$B$2:$B$51,0))</f>
        <v>2012</v>
      </c>
      <c r="R17" s="26">
        <f>INDEX(Data_Suppliers!$F$2:$F$51,MATCH(LARGE(Data_Suppliers!$B$2:$B$51,1),Data_Suppliers!$B$2:$B$51,0))</f>
        <v>0</v>
      </c>
    </row>
    <row r="18" spans="2:18" x14ac:dyDescent="0.25">
      <c r="B18" s="21" t="str">
        <f>INDEX(Data_Categories!$A$2:$A$7,MATCH(LARGE(Data_Categories!$D$2:$D$7,2),Data_Categories!$D$2:$D$7,0))</f>
        <v>Marketing Services</v>
      </c>
      <c r="C18" s="22">
        <f>INDEX(Data_Categories!$D$2:$D$7,MATCH(LARGE(Data_Categories!$D$2:$D$7,2),Data_Categories!$D$2:$D$7,0))</f>
        <v>1218.8600000000001</v>
      </c>
      <c r="D18" s="23">
        <f>INDEX(Data_Categories!$E$2:$E$7,MATCH(LARGE(Data_Categories!$D$2:$D$7,2),Data_Categories!$D$2:$D$7,0))</f>
        <v>0.193608132793265</v>
      </c>
      <c r="E18" s="24">
        <f>INDEX(Data_Categories!$F$2:$F$7,MATCH(LARGE(Data_Categories!$D$2:$D$7,2),Data_Categories!$D$2:$D$7,0))</f>
        <v>6.9125910333236895E-2</v>
      </c>
      <c r="F18" s="25">
        <f>INDEX(Data_Categories!$G$2:$G$7,MATCH(LARGE(Data_Categories!$D$2:$D$7,2),Data_Categories!$D$2:$D$7,0))</f>
        <v>40.719999999999914</v>
      </c>
      <c r="H18" s="21" t="s">
        <v>29</v>
      </c>
      <c r="I18" s="26">
        <f>SUM(Calculations!$F$2:$F$7)</f>
        <v>30</v>
      </c>
      <c r="J18" s="22">
        <f>SUM(Calculations!$H$2:$H$7)</f>
        <v>165.48789400000004</v>
      </c>
      <c r="K18" s="27">
        <f>J18*1000000/Calculations!$B$2</f>
        <v>2.6286321054419824E-2</v>
      </c>
      <c r="L18" s="28" t="str">
        <f>Calculations!$E$12</f>
        <v>Raw Materials</v>
      </c>
      <c r="N18" s="21" t="str">
        <f>INDEX(Data_Suppliers!$A$2:$A$51,MATCH(LARGE(Data_Suppliers!$B$2:$B$51,2),Data_Suppliers!$B$2:$B$51,0))</f>
        <v>SUP-46</v>
      </c>
      <c r="O18" s="22">
        <f>LARGE(Data_Suppliers!$B$2:$B$51,2)/1000000</f>
        <v>159.93085300000001</v>
      </c>
      <c r="P18" s="27">
        <f>INDEX(Data_Suppliers!$E$2:$E$51,MATCH(LARGE(Data_Suppliers!$B$2:$B$51,2),Data_Suppliers!$B$2:$B$51,0))</f>
        <v>2.5403633141075695E-2</v>
      </c>
      <c r="Q18" s="26">
        <f>INDEX(Data_Suppliers!$C$2:$C$51,MATCH(LARGE(Data_Suppliers!$B$2:$B$51,2),Data_Suppliers!$B$2:$B$51,0))</f>
        <v>1988</v>
      </c>
      <c r="R18" s="26">
        <f>INDEX(Data_Suppliers!$F$2:$F$51,MATCH(LARGE(Data_Suppliers!$B$2:$B$51,2),Data_Suppliers!$B$2:$B$51,0))</f>
        <v>2</v>
      </c>
    </row>
    <row r="19" spans="2:18" x14ac:dyDescent="0.25">
      <c r="B19" s="21" t="str">
        <f>INDEX(Data_Categories!$A$2:$A$7,MATCH(LARGE(Data_Categories!$D$2:$D$7,3),Data_Categories!$D$2:$D$7,0))</f>
        <v>Media &amp; Energy</v>
      </c>
      <c r="C19" s="22">
        <f>INDEX(Data_Categories!$D$2:$D$7,MATCH(LARGE(Data_Categories!$D$2:$D$7,3),Data_Categories!$D$2:$D$7,0))</f>
        <v>631.89</v>
      </c>
      <c r="D19" s="23">
        <f>INDEX(Data_Categories!$E$2:$E$7,MATCH(LARGE(Data_Categories!$D$2:$D$7,3),Data_Categories!$D$2:$D$7,0))</f>
        <v>0.10037169406719082</v>
      </c>
      <c r="E19" s="24">
        <f>INDEX(Data_Categories!$F$2:$F$7,MATCH(LARGE(Data_Categories!$D$2:$D$7,3),Data_Categories!$D$2:$D$7,0))</f>
        <v>5.8089705742312425E-3</v>
      </c>
      <c r="F19" s="25">
        <f>INDEX(Data_Categories!$G$2:$G$7,MATCH(LARGE(Data_Categories!$D$2:$D$7,3),Data_Categories!$D$2:$D$7,0))</f>
        <v>1.8300000000000409</v>
      </c>
      <c r="H19" s="29" t="s">
        <v>30</v>
      </c>
      <c r="I19" s="30">
        <f>I17+I18</f>
        <v>80</v>
      </c>
      <c r="J19" s="31">
        <f>J17+J18</f>
        <v>192.40620560000005</v>
      </c>
      <c r="K19" s="32">
        <f>K17+K18</f>
        <v>3.0562062100230179E-2</v>
      </c>
      <c r="L19" s="33"/>
      <c r="N19" s="21" t="str">
        <f>INDEX(Data_Suppliers!$A$2:$A$51,MATCH(LARGE(Data_Suppliers!$B$2:$B$51,3),Data_Suppliers!$B$2:$B$51,0))</f>
        <v>SUP-12</v>
      </c>
      <c r="O19" s="22">
        <f>LARGE(Data_Suppliers!$B$2:$B$51,3)/1000000</f>
        <v>148.03815299999999</v>
      </c>
      <c r="P19" s="27">
        <f>INDEX(Data_Suppliers!$E$2:$E$51,MATCH(LARGE(Data_Suppliers!$B$2:$B$51,3),Data_Suppliers!$B$2:$B$51,0))</f>
        <v>2.3514580577485157E-2</v>
      </c>
      <c r="Q19" s="26">
        <f>INDEX(Data_Suppliers!$C$2:$C$51,MATCH(LARGE(Data_Suppliers!$B$2:$B$51,3),Data_Suppliers!$B$2:$B$51,0))</f>
        <v>1976</v>
      </c>
      <c r="R19" s="26">
        <f>INDEX(Data_Suppliers!$F$2:$F$51,MATCH(LARGE(Data_Suppliers!$B$2:$B$51,3),Data_Suppliers!$B$2:$B$51,0))</f>
        <v>6</v>
      </c>
    </row>
    <row r="20" spans="2:18" x14ac:dyDescent="0.25">
      <c r="B20" s="21" t="str">
        <f>INDEX(Data_Categories!$A$2:$A$7,MATCH(LARGE(Data_Categories!$D$2:$D$7,4),Data_Categories!$D$2:$D$7,0))</f>
        <v>Logistics</v>
      </c>
      <c r="C20" s="22">
        <f>INDEX(Data_Categories!$D$2:$D$7,MATCH(LARGE(Data_Categories!$D$2:$D$7,4),Data_Categories!$D$2:$D$7,0))</f>
        <v>240.39</v>
      </c>
      <c r="D20" s="23">
        <f>INDEX(Data_Categories!$E$2:$E$7,MATCH(LARGE(Data_Categories!$D$2:$D$7,4),Data_Categories!$D$2:$D$7,0))</f>
        <v>3.8184417441029295E-2</v>
      </c>
      <c r="E20" s="24">
        <f>INDEX(Data_Categories!$F$2:$F$7,MATCH(LARGE(Data_Categories!$D$2:$D$7,4),Data_Categories!$D$2:$D$7,0))</f>
        <v>3.6340533672172937E-2</v>
      </c>
      <c r="F20" s="25">
        <f>INDEX(Data_Categories!$G$2:$G$7,MATCH(LARGE(Data_Categories!$D$2:$D$7,4),Data_Categories!$D$2:$D$7,0))</f>
        <v>4.2900000000000063</v>
      </c>
      <c r="N20" s="21" t="str">
        <f>INDEX(Data_Suppliers!$A$2:$A$51,MATCH(LARGE(Data_Suppliers!$B$2:$B$51,4),Data_Suppliers!$B$2:$B$51,0))</f>
        <v>SUP-14</v>
      </c>
      <c r="O20" s="22">
        <f>LARGE(Data_Suppliers!$B$2:$B$51,4)/1000000</f>
        <v>147.78607500000001</v>
      </c>
      <c r="P20" s="27">
        <f>INDEX(Data_Suppliers!$E$2:$E$51,MATCH(LARGE(Data_Suppliers!$B$2:$B$51,4),Data_Suppliers!$B$2:$B$51,0))</f>
        <v>2.3474540166802574E-2</v>
      </c>
      <c r="Q20" s="26">
        <f>INDEX(Data_Suppliers!$C$2:$C$51,MATCH(LARGE(Data_Suppliers!$B$2:$B$51,4),Data_Suppliers!$B$2:$B$51,0))</f>
        <v>2073</v>
      </c>
      <c r="R20" s="26">
        <f>INDEX(Data_Suppliers!$F$2:$F$51,MATCH(LARGE(Data_Suppliers!$B$2:$B$51,4),Data_Suppliers!$B$2:$B$51,0))</f>
        <v>3</v>
      </c>
    </row>
    <row r="21" spans="2:18" x14ac:dyDescent="0.25">
      <c r="B21" s="21" t="str">
        <f>INDEX(Data_Categories!$A$2:$A$7,MATCH(LARGE(Data_Categories!$D$2:$D$7,5),Data_Categories!$D$2:$D$7,0))</f>
        <v>Raw Materials</v>
      </c>
      <c r="C21" s="22">
        <f>INDEX(Data_Categories!$D$2:$D$7,MATCH(LARGE(Data_Categories!$D$2:$D$7,5),Data_Categories!$D$2:$D$7,0))</f>
        <v>164.89</v>
      </c>
      <c r="D21" s="23">
        <f>INDEX(Data_Categories!$E$2:$E$7,MATCH(LARGE(Data_Categories!$D$2:$D$7,5),Data_Categories!$D$2:$D$7,0))</f>
        <v>2.6191724247478346E-2</v>
      </c>
      <c r="E21" s="24">
        <f>INDEX(Data_Categories!$F$2:$F$7,MATCH(LARGE(Data_Categories!$D$2:$D$7,5),Data_Categories!$D$2:$D$7,0))</f>
        <v>-2.3019142234069756E-3</v>
      </c>
      <c r="F21" s="25">
        <f>INDEX(Data_Categories!$G$2:$G$7,MATCH(LARGE(Data_Categories!$D$2:$D$7,5),Data_Categories!$D$2:$D$7,0))</f>
        <v>-0.19000000000001194</v>
      </c>
      <c r="H21" s="80" t="s">
        <v>31</v>
      </c>
      <c r="I21" s="80"/>
      <c r="J21" s="80"/>
      <c r="K21" s="80"/>
      <c r="L21" s="80"/>
      <c r="N21" s="21" t="str">
        <f>INDEX(Data_Suppliers!$A$2:$A$51,MATCH(LARGE(Data_Suppliers!$B$2:$B$51,5),Data_Suppliers!$B$2:$B$51,0))</f>
        <v>SUP-30</v>
      </c>
      <c r="O21" s="22">
        <f>LARGE(Data_Suppliers!$B$2:$B$51,5)/1000000</f>
        <v>143.31573700000001</v>
      </c>
      <c r="P21" s="27">
        <f>INDEX(Data_Suppliers!$E$2:$E$51,MATCH(LARGE(Data_Suppliers!$B$2:$B$51,5),Data_Suppliers!$B$2:$B$51,0))</f>
        <v>2.2764465628723234E-2</v>
      </c>
      <c r="Q21" s="26">
        <f>INDEX(Data_Suppliers!$C$2:$C$51,MATCH(LARGE(Data_Suppliers!$B$2:$B$51,5),Data_Suppliers!$B$2:$B$51,0))</f>
        <v>2012</v>
      </c>
      <c r="R21" s="26">
        <f>INDEX(Data_Suppliers!$F$2:$F$51,MATCH(LARGE(Data_Suppliers!$B$2:$B$51,5),Data_Suppliers!$B$2:$B$51,0))</f>
        <v>3</v>
      </c>
    </row>
    <row r="22" spans="2:18" ht="23.25" x14ac:dyDescent="0.25">
      <c r="B22" s="21" t="str">
        <f>INDEX(Data_Categories!$A$2:$A$7,MATCH(LARGE(Data_Categories!$D$2:$D$7,6),Data_Categories!$D$2:$D$7,0))</f>
        <v>Office Supplies</v>
      </c>
      <c r="C22" s="22">
        <f>INDEX(Data_Categories!$D$2:$D$7,MATCH(LARGE(Data_Categories!$D$2:$D$7,6),Data_Categories!$D$2:$D$7,0))</f>
        <v>39.89</v>
      </c>
      <c r="D22" s="23">
        <f>INDEX(Data_Categories!$E$2:$E$7,MATCH(LARGE(Data_Categories!$D$2:$D$7,6),Data_Categories!$D$2:$D$7,0))</f>
        <v>6.3362719402747973E-3</v>
      </c>
      <c r="E22" s="24">
        <f>INDEX(Data_Categories!$F$2:$F$7,MATCH(LARGE(Data_Categories!$D$2:$D$7,6),Data_Categories!$D$2:$D$7,0))</f>
        <v>-4.5022511255627951E-3</v>
      </c>
      <c r="F22" s="25">
        <f>INDEX(Data_Categories!$G$2:$G$7,MATCH(LARGE(Data_Categories!$D$2:$D$7,6),Data_Categories!$D$2:$D$7,0))</f>
        <v>-8.9999999999999858E-2</v>
      </c>
      <c r="H22" s="17" t="s">
        <v>17</v>
      </c>
      <c r="I22" s="18" t="s">
        <v>32</v>
      </c>
      <c r="J22" s="18" t="s">
        <v>18</v>
      </c>
      <c r="K22" s="18" t="s">
        <v>33</v>
      </c>
      <c r="L22" s="17" t="s">
        <v>34</v>
      </c>
      <c r="N22" s="21" t="str">
        <f>INDEX(Data_Suppliers!$A$2:$A$51,MATCH(LARGE(Data_Suppliers!$B$2:$B$51,6),Data_Suppliers!$B$2:$B$51,0))</f>
        <v>SUP-27</v>
      </c>
      <c r="O22" s="22">
        <f>LARGE(Data_Suppliers!$B$2:$B$51,6)/1000000</f>
        <v>135.62601799999999</v>
      </c>
      <c r="P22" s="27">
        <f>INDEX(Data_Suppliers!$E$2:$E$51,MATCH(LARGE(Data_Suppliers!$B$2:$B$51,6),Data_Suppliers!$B$2:$B$51,0))</f>
        <v>2.1543020255490843E-2</v>
      </c>
      <c r="Q22" s="26">
        <f>INDEX(Data_Suppliers!$C$2:$C$51,MATCH(LARGE(Data_Suppliers!$B$2:$B$51,6),Data_Suppliers!$B$2:$B$51,0))</f>
        <v>2019</v>
      </c>
      <c r="R22" s="26">
        <f>INDEX(Data_Suppliers!$F$2:$F$51,MATCH(LARGE(Data_Suppliers!$B$2:$B$51,6),Data_Suppliers!$B$2:$B$51,0))</f>
        <v>2</v>
      </c>
    </row>
    <row r="23" spans="2:18" x14ac:dyDescent="0.25">
      <c r="B23" s="29" t="s">
        <v>30</v>
      </c>
      <c r="C23" s="31">
        <f>SUM(C17:C22)</f>
        <v>6295.5000000000018</v>
      </c>
      <c r="D23" s="34">
        <f>SUM(D17:D22)</f>
        <v>0.99999999999999978</v>
      </c>
      <c r="E23" s="35">
        <f>SUM(Data_Categories!$C$2:$C$7)/SUM(Data_Categories!$B$2:$B$7)-1</f>
        <v>-1.4476052609021517E-3</v>
      </c>
      <c r="F23" s="36">
        <f>SUM(F17:F22)</f>
        <v>-4.5599999999999419</v>
      </c>
      <c r="H23" s="21" t="str">
        <f>INDEX(Data_Outliers!$A$2:$A7,MATCH(LARGE(Data_Outliers!$C$2:$C7,1),Data_Outliers!$C$2:$C7,0))</f>
        <v>IT Hardware</v>
      </c>
      <c r="I23" s="26">
        <f>INDEX(Data_Outliers!$B$2:$B7,MATCH(LARGE(Data_Outliers!$C$2:$C7,1),Data_Outliers!$C$2:$C7,0))</f>
        <v>76</v>
      </c>
      <c r="J23" s="37">
        <f>INDEX(Data_Outliers!$C$2:$C7,MATCH(LARGE(Data_Outliers!$C$2:$C7,1),Data_Outliers!$C$2:$C7,0))</f>
        <v>40.47</v>
      </c>
      <c r="K23" s="26">
        <f>INDEX(Data_Outliers!$D$2:$D7,MATCH(LARGE(Data_Outliers!$C$2:$C7,1),Data_Outliers!$C$2:$C7,0))</f>
        <v>7213</v>
      </c>
      <c r="L23" s="28" t="str">
        <f>INDEX(Data_Outliers!$E$2:$E7,MATCH(LARGE(Data_Outliers!$C$2:$C7,1),Data_Outliers!$C$2:$C7,0))</f>
        <v>HIGH</v>
      </c>
      <c r="N23" s="21" t="str">
        <f>INDEX(Data_Suppliers!$A$2:$A$51,MATCH(LARGE(Data_Suppliers!$B$2:$B$51,7),Data_Suppliers!$B$2:$B$51,0))</f>
        <v>SUP-47</v>
      </c>
      <c r="O23" s="22">
        <f>LARGE(Data_Suppliers!$B$2:$B$51,7)/1000000</f>
        <v>133.40017700000001</v>
      </c>
      <c r="P23" s="27">
        <f>INDEX(Data_Suppliers!$E$2:$E$51,MATCH(LARGE(Data_Suppliers!$B$2:$B$51,7),Data_Suppliers!$B$2:$B$51,0))</f>
        <v>2.1189464658595697E-2</v>
      </c>
      <c r="Q23" s="26">
        <f>INDEX(Data_Suppliers!$C$2:$C$51,MATCH(LARGE(Data_Suppliers!$B$2:$B$51,7),Data_Suppliers!$B$2:$B$51,0))</f>
        <v>2084</v>
      </c>
      <c r="R23" s="26">
        <f>INDEX(Data_Suppliers!$F$2:$F$51,MATCH(LARGE(Data_Suppliers!$B$2:$B$51,7),Data_Suppliers!$B$2:$B$51,0))</f>
        <v>2</v>
      </c>
    </row>
    <row r="24" spans="2:18" x14ac:dyDescent="0.25">
      <c r="H24" s="21" t="str">
        <f>INDEX(Data_Outliers!$A$2:$A7,MATCH(LARGE(Data_Outliers!$C$2:$C7,2),Data_Outliers!$C$2:$C7,0))</f>
        <v>Marketing Services</v>
      </c>
      <c r="I24" s="26">
        <f>INDEX(Data_Outliers!$B$2:$B7,MATCH(LARGE(Data_Outliers!$C$2:$C7,2),Data_Outliers!$C$2:$C7,0))</f>
        <v>27</v>
      </c>
      <c r="J24" s="37">
        <f>INDEX(Data_Outliers!$C$2:$C7,MATCH(LARGE(Data_Outliers!$C$2:$C7,2),Data_Outliers!$C$2:$C7,0))</f>
        <v>9.68</v>
      </c>
      <c r="K24" s="26">
        <f>INDEX(Data_Outliers!$D$2:$D7,MATCH(LARGE(Data_Outliers!$C$2:$C7,2),Data_Outliers!$C$2:$C7,0))</f>
        <v>2262</v>
      </c>
      <c r="L24" s="28" t="str">
        <f>INDEX(Data_Outliers!$E$2:$E7,MATCH(LARGE(Data_Outliers!$C$2:$C7,2),Data_Outliers!$C$2:$C7,0))</f>
        <v>MEDIUM</v>
      </c>
      <c r="N24" s="21" t="str">
        <f>INDEX(Data_Suppliers!$A$2:$A$51,MATCH(LARGE(Data_Suppliers!$B$2:$B$51,8),Data_Suppliers!$B$2:$B$51,0))</f>
        <v>SUP-44</v>
      </c>
      <c r="O24" s="22">
        <f>LARGE(Data_Suppliers!$B$2:$B$51,8)/1000000</f>
        <v>131.41236699999999</v>
      </c>
      <c r="P24" s="27">
        <f>INDEX(Data_Suppliers!$E$2:$E$51,MATCH(LARGE(Data_Suppliers!$B$2:$B$51,8),Data_Suppliers!$B$2:$B$51,0))</f>
        <v>2.087371822789191E-2</v>
      </c>
      <c r="Q24" s="26">
        <f>INDEX(Data_Suppliers!$C$2:$C$51,MATCH(LARGE(Data_Suppliers!$B$2:$B$51,8),Data_Suppliers!$B$2:$B$51,0))</f>
        <v>2016</v>
      </c>
      <c r="R24" s="26">
        <f>INDEX(Data_Suppliers!$F$2:$F$51,MATCH(LARGE(Data_Suppliers!$B$2:$B$51,8),Data_Suppliers!$B$2:$B$51,0))</f>
        <v>2</v>
      </c>
    </row>
    <row r="25" spans="2:18" x14ac:dyDescent="0.25">
      <c r="B25" s="79" t="s">
        <v>35</v>
      </c>
      <c r="C25" s="79"/>
      <c r="D25" s="79"/>
      <c r="E25" s="79"/>
      <c r="F25" s="79"/>
      <c r="H25" s="21" t="str">
        <f>INDEX(Data_Outliers!$A$2:$A7,MATCH(LARGE(Data_Outliers!$C$2:$C7,3),Data_Outliers!$C$2:$C7,0))</f>
        <v>Media &amp; Energy</v>
      </c>
      <c r="I25" s="26">
        <f>INDEX(Data_Outliers!$B$2:$B7,MATCH(LARGE(Data_Outliers!$C$2:$C7,3),Data_Outliers!$C$2:$C7,0))</f>
        <v>166</v>
      </c>
      <c r="J25" s="37">
        <f>INDEX(Data_Outliers!$C$2:$C7,MATCH(LARGE(Data_Outliers!$C$2:$C7,3),Data_Outliers!$C$2:$C7,0))</f>
        <v>9.5</v>
      </c>
      <c r="K25" s="26">
        <f>INDEX(Data_Outliers!$D$2:$D7,MATCH(LARGE(Data_Outliers!$C$2:$C7,3),Data_Outliers!$C$2:$C7,0))</f>
        <v>1031</v>
      </c>
      <c r="L25" s="28" t="str">
        <f>INDEX(Data_Outliers!$E$2:$E7,MATCH(LARGE(Data_Outliers!$C$2:$C7,3),Data_Outliers!$C$2:$C7,0))</f>
        <v>MEDIUM</v>
      </c>
      <c r="N25" s="21" t="str">
        <f>INDEX(Data_Suppliers!$A$2:$A$51,MATCH(LARGE(Data_Suppliers!$B$2:$B$51,9),Data_Suppliers!$B$2:$B$51,0))</f>
        <v>SUP-05</v>
      </c>
      <c r="O25" s="22">
        <f>LARGE(Data_Suppliers!$B$2:$B$51,9)/1000000</f>
        <v>131.264849</v>
      </c>
      <c r="P25" s="27">
        <f>INDEX(Data_Suppliers!$E$2:$E$51,MATCH(LARGE(Data_Suppliers!$B$2:$B$51,9),Data_Suppliers!$B$2:$B$51,0))</f>
        <v>2.0850286269120923E-2</v>
      </c>
      <c r="Q25" s="26">
        <f>INDEX(Data_Suppliers!$C$2:$C$51,MATCH(LARGE(Data_Suppliers!$B$2:$B$51,9),Data_Suppliers!$B$2:$B$51,0))</f>
        <v>2053</v>
      </c>
      <c r="R25" s="26">
        <f>INDEX(Data_Suppliers!$F$2:$F$51,MATCH(LARGE(Data_Suppliers!$B$2:$B$51,9),Data_Suppliers!$B$2:$B$51,0))</f>
        <v>0</v>
      </c>
    </row>
    <row r="26" spans="2:18" x14ac:dyDescent="0.25">
      <c r="B26" s="15" t="s">
        <v>36</v>
      </c>
      <c r="C26" s="16" t="s">
        <v>37</v>
      </c>
      <c r="D26" s="16" t="s">
        <v>38</v>
      </c>
      <c r="E26" s="16" t="s">
        <v>21</v>
      </c>
      <c r="F26" s="16" t="s">
        <v>39</v>
      </c>
      <c r="H26" s="21" t="str">
        <f>INDEX(Data_Outliers!$A$2:$A7,MATCH(LARGE(Data_Outliers!$C$2:$C7,4),Data_Outliers!$C$2:$C7,0))</f>
        <v>Logistics</v>
      </c>
      <c r="I26" s="26">
        <f>INDEX(Data_Outliers!$B$2:$B7,MATCH(LARGE(Data_Outliers!$C$2:$C7,4),Data_Outliers!$C$2:$C7,0))</f>
        <v>13</v>
      </c>
      <c r="J26" s="37">
        <f>INDEX(Data_Outliers!$C$2:$C7,MATCH(LARGE(Data_Outliers!$C$2:$C7,4),Data_Outliers!$C$2:$C7,0))</f>
        <v>3.02</v>
      </c>
      <c r="K26" s="26">
        <f>INDEX(Data_Outliers!$D$2:$D7,MATCH(LARGE(Data_Outliers!$C$2:$C7,4),Data_Outliers!$C$2:$C7,0))</f>
        <v>510</v>
      </c>
      <c r="L26" s="28" t="str">
        <f>INDEX(Data_Outliers!$E$2:$E7,MATCH(LARGE(Data_Outliers!$C$2:$C7,4),Data_Outliers!$C$2:$C7,0))</f>
        <v>LOW</v>
      </c>
      <c r="N26" s="21" t="str">
        <f>INDEX(Data_Suppliers!$A$2:$A$51,MATCH(LARGE(Data_Suppliers!$B$2:$B$51,10),Data_Suppliers!$B$2:$B$51,0))</f>
        <v>SUP-39</v>
      </c>
      <c r="O26" s="22">
        <f>LARGE(Data_Suppliers!$B$2:$B$51,10)/1000000</f>
        <v>130.93815900000001</v>
      </c>
      <c r="P26" s="27">
        <f>INDEX(Data_Suppliers!$E$2:$E$51,MATCH(LARGE(Data_Suppliers!$B$2:$B$51,10),Data_Suppliers!$B$2:$B$51,0))</f>
        <v>2.0798394387378391E-2</v>
      </c>
      <c r="Q26" s="26">
        <f>INDEX(Data_Suppliers!$C$2:$C$51,MATCH(LARGE(Data_Suppliers!$B$2:$B$51,10),Data_Suppliers!$B$2:$B$51,0))</f>
        <v>2014</v>
      </c>
      <c r="R26" s="26">
        <f>INDEX(Data_Suppliers!$F$2:$F$51,MATCH(LARGE(Data_Suppliers!$B$2:$B$51,10),Data_Suppliers!$B$2:$B$51,0))</f>
        <v>2</v>
      </c>
    </row>
    <row r="27" spans="2:18" x14ac:dyDescent="0.25">
      <c r="B27" s="21" t="str">
        <f>Data_Months!A2</f>
        <v>Jan</v>
      </c>
      <c r="C27" s="22">
        <f>Data_Months!B2</f>
        <v>256.8</v>
      </c>
      <c r="D27" s="22">
        <f>Data_Months!C2</f>
        <v>261.10000000000002</v>
      </c>
      <c r="E27" s="25">
        <f>Data_Months!D2</f>
        <v>4.3000000000000114</v>
      </c>
      <c r="F27" s="24">
        <f>Data_Months!E2</f>
        <v>1.6744548286604433E-2</v>
      </c>
      <c r="H27" s="21" t="str">
        <f>INDEX(Data_Outliers!$A$2:$A7,MATCH(LARGE(Data_Outliers!$C$2:$C7,5),Data_Outliers!$C$2:$C7,0))</f>
        <v>Raw Materials</v>
      </c>
      <c r="I27" s="26">
        <f>INDEX(Data_Outliers!$B$2:$B7,MATCH(LARGE(Data_Outliers!$C$2:$C7,5),Data_Outliers!$C$2:$C7,0))</f>
        <v>10</v>
      </c>
      <c r="J27" s="37">
        <f>INDEX(Data_Outliers!$C$2:$C7,MATCH(LARGE(Data_Outliers!$C$2:$C7,5),Data_Outliers!$C$2:$C7,0))</f>
        <v>0.83</v>
      </c>
      <c r="K27" s="26">
        <f>INDEX(Data_Outliers!$D$2:$D7,MATCH(LARGE(Data_Outliers!$C$2:$C7,5),Data_Outliers!$C$2:$C7,0))</f>
        <v>320</v>
      </c>
      <c r="L27" s="28" t="str">
        <f>INDEX(Data_Outliers!$E$2:$E7,MATCH(LARGE(Data_Outliers!$C$2:$C7,5),Data_Outliers!$C$2:$C7,0))</f>
        <v>LOW</v>
      </c>
      <c r="N27" s="21" t="str">
        <f>INDEX(Data_Suppliers!$A$2:$A$51,MATCH(LARGE(Data_Suppliers!$B$2:$B$51,11),Data_Suppliers!$B$2:$B$51,0))</f>
        <v>SUP-04</v>
      </c>
      <c r="O27" s="22">
        <f>LARGE(Data_Suppliers!$B$2:$B$51,11)/1000000</f>
        <v>129.96583999999999</v>
      </c>
      <c r="P27" s="27">
        <f>INDEX(Data_Suppliers!$E$2:$E$51,MATCH(LARGE(Data_Suppliers!$B$2:$B$51,11),Data_Suppliers!$B$2:$B$51,0))</f>
        <v>2.0643949921481011E-2</v>
      </c>
      <c r="Q27" s="26">
        <f>INDEX(Data_Suppliers!$C$2:$C$51,MATCH(LARGE(Data_Suppliers!$B$2:$B$51,11),Data_Suppliers!$B$2:$B$51,0))</f>
        <v>2078</v>
      </c>
      <c r="R27" s="26">
        <f>INDEX(Data_Suppliers!$F$2:$F$51,MATCH(LARGE(Data_Suppliers!$B$2:$B$51,11),Data_Suppliers!$B$2:$B$51,0))</f>
        <v>0</v>
      </c>
    </row>
    <row r="28" spans="2:18" x14ac:dyDescent="0.25">
      <c r="B28" s="21" t="str">
        <f>Data_Months!A3</f>
        <v>Feb</v>
      </c>
      <c r="C28" s="22">
        <f>Data_Months!B3</f>
        <v>239.6</v>
      </c>
      <c r="D28" s="22">
        <f>Data_Months!C3</f>
        <v>236.1</v>
      </c>
      <c r="E28" s="25">
        <f>Data_Months!D3</f>
        <v>-3.5</v>
      </c>
      <c r="F28" s="24">
        <f>Data_Months!E3</f>
        <v>-1.4607679465776346E-2</v>
      </c>
      <c r="H28" s="21" t="str">
        <f>INDEX(Data_Outliers!$A$2:$A7,MATCH(LARGE(Data_Outliers!$C$2:$C7,6),Data_Outliers!$C$2:$C7,0))</f>
        <v>Office Supplies</v>
      </c>
      <c r="I28" s="26">
        <f>INDEX(Data_Outliers!$B$2:$B7,MATCH(LARGE(Data_Outliers!$C$2:$C7,6),Data_Outliers!$C$2:$C7,0))</f>
        <v>12</v>
      </c>
      <c r="J28" s="37">
        <f>INDEX(Data_Outliers!$C$2:$C7,MATCH(LARGE(Data_Outliers!$C$2:$C7,6),Data_Outliers!$C$2:$C7,0))</f>
        <v>0.39</v>
      </c>
      <c r="K28" s="26">
        <f>INDEX(Data_Outliers!$D$2:$D7,MATCH(LARGE(Data_Outliers!$C$2:$C7,6),Data_Outliers!$C$2:$C7,0))</f>
        <v>82</v>
      </c>
      <c r="L28" s="28" t="str">
        <f>INDEX(Data_Outliers!$E$2:$E7,MATCH(LARGE(Data_Outliers!$C$2:$C7,6),Data_Outliers!$C$2:$C7,0))</f>
        <v>LOW</v>
      </c>
      <c r="N28" s="21" t="str">
        <f>INDEX(Data_Suppliers!$A$2:$A$51,MATCH(LARGE(Data_Suppliers!$B$2:$B$51,12),Data_Suppliers!$B$2:$B$51,0))</f>
        <v>SUP-01</v>
      </c>
      <c r="O28" s="22">
        <f>LARGE(Data_Suppliers!$B$2:$B$51,12)/1000000</f>
        <v>129.04027500000001</v>
      </c>
      <c r="P28" s="27">
        <f>INDEX(Data_Suppliers!$E$2:$E$51,MATCH(LARGE(Data_Suppliers!$B$2:$B$51,12),Data_Suppliers!$B$2:$B$51,0))</f>
        <v>2.0496931924220533E-2</v>
      </c>
      <c r="Q28" s="26">
        <f>INDEX(Data_Suppliers!$C$2:$C$51,MATCH(LARGE(Data_Suppliers!$B$2:$B$51,12),Data_Suppliers!$B$2:$B$51,0))</f>
        <v>2018</v>
      </c>
      <c r="R28" s="26">
        <f>INDEX(Data_Suppliers!$F$2:$F$51,MATCH(LARGE(Data_Suppliers!$B$2:$B$51,12),Data_Suppliers!$B$2:$B$51,0))</f>
        <v>5</v>
      </c>
    </row>
    <row r="29" spans="2:18" x14ac:dyDescent="0.25">
      <c r="B29" s="21" t="str">
        <f>Data_Months!A4</f>
        <v>Mar</v>
      </c>
      <c r="C29" s="22">
        <f>Data_Months!B4</f>
        <v>262.39999999999998</v>
      </c>
      <c r="D29" s="22">
        <f>Data_Months!C4</f>
        <v>282</v>
      </c>
      <c r="E29" s="25">
        <f>Data_Months!D4</f>
        <v>19.600000000000023</v>
      </c>
      <c r="F29" s="24">
        <f>Data_Months!E4</f>
        <v>7.4695121951219523E-2</v>
      </c>
      <c r="H29" s="29" t="s">
        <v>30</v>
      </c>
      <c r="I29" s="30">
        <f>SUM(I23:I28)</f>
        <v>304</v>
      </c>
      <c r="J29" s="38">
        <f>SUM(J23:J28)</f>
        <v>63.89</v>
      </c>
      <c r="K29" s="33"/>
      <c r="L29" s="33"/>
      <c r="N29" s="21" t="str">
        <f>INDEX(Data_Suppliers!$A$2:$A$51,MATCH(LARGE(Data_Suppliers!$B$2:$B$51,13),Data_Suppliers!$B$2:$B$51,0))</f>
        <v>SUP-33</v>
      </c>
      <c r="O29" s="22">
        <f>LARGE(Data_Suppliers!$B$2:$B$51,13)/1000000</f>
        <v>128.67829800000001</v>
      </c>
      <c r="P29" s="27">
        <f>INDEX(Data_Suppliers!$E$2:$E$51,MATCH(LARGE(Data_Suppliers!$B$2:$B$51,13),Data_Suppliers!$B$2:$B$51,0))</f>
        <v>2.0439435007640547E-2</v>
      </c>
      <c r="Q29" s="26">
        <f>INDEX(Data_Suppliers!$C$2:$C$51,MATCH(LARGE(Data_Suppliers!$B$2:$B$51,13),Data_Suppliers!$B$2:$B$51,0))</f>
        <v>2028</v>
      </c>
      <c r="R29" s="26">
        <f>INDEX(Data_Suppliers!$F$2:$F$51,MATCH(LARGE(Data_Suppliers!$B$2:$B$51,13),Data_Suppliers!$B$2:$B$51,0))</f>
        <v>1</v>
      </c>
    </row>
    <row r="30" spans="2:18" x14ac:dyDescent="0.25">
      <c r="B30" s="21" t="str">
        <f>Data_Months!A5</f>
        <v>Apr</v>
      </c>
      <c r="C30" s="22">
        <f>Data_Months!B5</f>
        <v>244.1</v>
      </c>
      <c r="D30" s="22">
        <f>Data_Months!C5</f>
        <v>255.5</v>
      </c>
      <c r="E30" s="25">
        <f>Data_Months!D5</f>
        <v>11.400000000000006</v>
      </c>
      <c r="F30" s="24">
        <f>Data_Months!E5</f>
        <v>4.6702171241294499E-2</v>
      </c>
      <c r="N30" s="21" t="str">
        <f>INDEX(Data_Suppliers!$A$2:$A$51,MATCH(LARGE(Data_Suppliers!$B$2:$B$51,14),Data_Suppliers!$B$2:$B$51,0))</f>
        <v>SUP-08</v>
      </c>
      <c r="O30" s="22">
        <f>LARGE(Data_Suppliers!$B$2:$B$51,14)/1000000</f>
        <v>128.49488099999999</v>
      </c>
      <c r="P30" s="27">
        <f>INDEX(Data_Suppliers!$E$2:$E$51,MATCH(LARGE(Data_Suppliers!$B$2:$B$51,14),Data_Suppliers!$B$2:$B$51,0))</f>
        <v>2.041030080312382E-2</v>
      </c>
      <c r="Q30" s="26">
        <f>INDEX(Data_Suppliers!$C$2:$C$51,MATCH(LARGE(Data_Suppliers!$B$2:$B$51,14),Data_Suppliers!$B$2:$B$51,0))</f>
        <v>2027</v>
      </c>
      <c r="R30" s="26">
        <f>INDEX(Data_Suppliers!$F$2:$F$51,MATCH(LARGE(Data_Suppliers!$B$2:$B$51,14),Data_Suppliers!$B$2:$B$51,0))</f>
        <v>2</v>
      </c>
    </row>
    <row r="31" spans="2:18" x14ac:dyDescent="0.25">
      <c r="B31" s="21" t="str">
        <f>Data_Months!A6</f>
        <v>May</v>
      </c>
      <c r="C31" s="22">
        <f>Data_Months!B6</f>
        <v>260</v>
      </c>
      <c r="D31" s="22">
        <f>Data_Months!C6</f>
        <v>271.3</v>
      </c>
      <c r="E31" s="25">
        <f>Data_Months!D6</f>
        <v>11.300000000000011</v>
      </c>
      <c r="F31" s="24">
        <f>Data_Months!E6</f>
        <v>4.346153846153844E-2</v>
      </c>
      <c r="H31" s="80" t="s">
        <v>40</v>
      </c>
      <c r="I31" s="80"/>
      <c r="J31" s="80"/>
      <c r="K31" s="80"/>
      <c r="L31" s="80"/>
      <c r="N31" s="21" t="str">
        <f>INDEX(Data_Suppliers!$A$2:$A$51,MATCH(LARGE(Data_Suppliers!$B$2:$B$51,15),Data_Suppliers!$B$2:$B$51,0))</f>
        <v>SUP-43</v>
      </c>
      <c r="O31" s="22">
        <f>LARGE(Data_Suppliers!$B$2:$B$51,15)/1000000</f>
        <v>127.943608</v>
      </c>
      <c r="P31" s="27">
        <f>INDEX(Data_Suppliers!$E$2:$E$51,MATCH(LARGE(Data_Suppliers!$B$2:$B$51,15),Data_Suppliers!$B$2:$B$51,0))</f>
        <v>2.0322735853710461E-2</v>
      </c>
      <c r="Q31" s="26">
        <f>INDEX(Data_Suppliers!$C$2:$C$51,MATCH(LARGE(Data_Suppliers!$B$2:$B$51,15),Data_Suppliers!$B$2:$B$51,0))</f>
        <v>1922</v>
      </c>
      <c r="R31" s="26">
        <f>INDEX(Data_Suppliers!$F$2:$F$51,MATCH(LARGE(Data_Suppliers!$B$2:$B$51,15),Data_Suppliers!$B$2:$B$51,0))</f>
        <v>3</v>
      </c>
    </row>
    <row r="32" spans="2:18" x14ac:dyDescent="0.25">
      <c r="B32" s="21" t="str">
        <f>Data_Months!A7</f>
        <v>Jun</v>
      </c>
      <c r="C32" s="22">
        <f>Data_Months!B7</f>
        <v>255.6</v>
      </c>
      <c r="D32" s="22">
        <f>Data_Months!C7</f>
        <v>254.9</v>
      </c>
      <c r="E32" s="25">
        <f>Data_Months!D7</f>
        <v>-0.69999999999998863</v>
      </c>
      <c r="F32" s="24">
        <f>Data_Months!E7</f>
        <v>-2.7386541471048353E-3</v>
      </c>
      <c r="H32" s="17" t="s">
        <v>41</v>
      </c>
      <c r="I32" s="18" t="s">
        <v>42</v>
      </c>
      <c r="J32" s="17" t="s">
        <v>26</v>
      </c>
      <c r="K32" s="18" t="s">
        <v>18</v>
      </c>
      <c r="L32" s="17" t="s">
        <v>22</v>
      </c>
    </row>
    <row r="33" spans="2:18" x14ac:dyDescent="0.25">
      <c r="B33" s="21" t="str">
        <f>Data_Months!A8</f>
        <v>Jul</v>
      </c>
      <c r="C33" s="22">
        <f>Data_Months!B8</f>
        <v>260.39999999999998</v>
      </c>
      <c r="D33" s="22">
        <f>Data_Months!C8</f>
        <v>262.8</v>
      </c>
      <c r="E33" s="25">
        <f>Data_Months!D8</f>
        <v>2.4000000000000341</v>
      </c>
      <c r="F33" s="24">
        <f>Data_Months!E8</f>
        <v>9.2165898617513342E-3</v>
      </c>
      <c r="H33" s="21" t="str">
        <f>INDEX(Data_Anomalies!$A$2:$A$81,MATCH(LARGE(Data_Anomalies!$I$2:$I$81,1),Data_Anomalies!$I$2:$I$81,0))</f>
        <v>PO-817370</v>
      </c>
      <c r="I33" s="39">
        <f>INDEX(Data_Anomalies!$B$2:$B$81,MATCH(LARGE(Data_Anomalies!$I$2:$I$81,1),Data_Anomalies!$I$2:$I$81,0))</f>
        <v>45535</v>
      </c>
      <c r="J33" s="28" t="str">
        <f>INDEX(Data_Anomalies!$D$2:$D$81,MATCH(LARGE(Data_Anomalies!$I$2:$I$81,1),Data_Anomalies!$I$2:$I$81,0))</f>
        <v>SUP-46</v>
      </c>
      <c r="K33" s="37">
        <f>LARGE(Data_Anomalies!$I$2:$I$81,1)/1000000</f>
        <v>38.213365000000003</v>
      </c>
      <c r="L33" s="28" t="str">
        <f>INDEX(Data_Anomalies!$H$2:$H$81,MATCH(LARGE(Data_Anomalies!$I$2:$I$81,1),Data_Anomalies!$I$2:$I$81,0))</f>
        <v>Quantity anomaly</v>
      </c>
      <c r="N33" s="81" t="s">
        <v>43</v>
      </c>
      <c r="O33" s="81"/>
      <c r="P33" s="81"/>
      <c r="Q33" s="81"/>
      <c r="R33" s="81"/>
    </row>
    <row r="34" spans="2:18" x14ac:dyDescent="0.25">
      <c r="B34" s="21" t="str">
        <f>Data_Months!A9</f>
        <v>Aug</v>
      </c>
      <c r="C34" s="22">
        <f>Data_Months!B9</f>
        <v>290.8</v>
      </c>
      <c r="D34" s="22">
        <f>Data_Months!C9</f>
        <v>272.5</v>
      </c>
      <c r="E34" s="25">
        <f>Data_Months!D9</f>
        <v>-18.300000000000011</v>
      </c>
      <c r="F34" s="24">
        <f>Data_Months!E9</f>
        <v>-6.2929848693260015E-2</v>
      </c>
      <c r="H34" s="21" t="str">
        <f>INDEX(Data_Anomalies!$A$2:$A$81,MATCH(LARGE(Data_Anomalies!$I$2:$I$81,2),Data_Anomalies!$I$2:$I$81,0))</f>
        <v>PO-663941</v>
      </c>
      <c r="I34" s="39">
        <f>INDEX(Data_Anomalies!$B$2:$B$81,MATCH(LARGE(Data_Anomalies!$I$2:$I$81,2),Data_Anomalies!$I$2:$I$81,0))</f>
        <v>45509</v>
      </c>
      <c r="J34" s="28" t="str">
        <f>INDEX(Data_Anomalies!$D$2:$D$81,MATCH(LARGE(Data_Anomalies!$I$2:$I$81,2),Data_Anomalies!$I$2:$I$81,0))</f>
        <v>SUP-14</v>
      </c>
      <c r="K34" s="37">
        <f>LARGE(Data_Anomalies!$I$2:$I$81,2)/1000000</f>
        <v>22.13805</v>
      </c>
      <c r="L34" s="28" t="str">
        <f>INDEX(Data_Anomalies!$H$2:$H$81,MATCH(LARGE(Data_Anomalies!$I$2:$I$81,2),Data_Anomalies!$I$2:$I$81,0))</f>
        <v>Quantity anomaly</v>
      </c>
      <c r="N34" s="19" t="s">
        <v>26</v>
      </c>
      <c r="O34" s="20" t="s">
        <v>44</v>
      </c>
      <c r="P34" s="20" t="s">
        <v>18</v>
      </c>
      <c r="Q34" s="19" t="s">
        <v>45</v>
      </c>
      <c r="R34" s="19" t="s">
        <v>46</v>
      </c>
    </row>
    <row r="35" spans="2:18" x14ac:dyDescent="0.25">
      <c r="B35" s="21" t="str">
        <f>Data_Months!A10</f>
        <v>Sep</v>
      </c>
      <c r="C35" s="22">
        <f>Data_Months!B10</f>
        <v>302.89999999999998</v>
      </c>
      <c r="D35" s="22">
        <f>Data_Months!C10</f>
        <v>261.10000000000002</v>
      </c>
      <c r="E35" s="25">
        <f>Data_Months!D10</f>
        <v>-41.799999999999955</v>
      </c>
      <c r="F35" s="24">
        <f>Data_Months!E10</f>
        <v>-0.13799933971607781</v>
      </c>
      <c r="H35" s="21" t="str">
        <f>INDEX(Data_Anomalies!$A$2:$A$81,MATCH(LARGE(Data_Anomalies!$I$2:$I$81,3),Data_Anomalies!$I$2:$I$81,0))</f>
        <v>PO-417578</v>
      </c>
      <c r="I35" s="39">
        <f>INDEX(Data_Anomalies!$B$2:$B$81,MATCH(LARGE(Data_Anomalies!$I$2:$I$81,3),Data_Anomalies!$I$2:$I$81,0))</f>
        <v>45738</v>
      </c>
      <c r="J35" s="28" t="str">
        <f>INDEX(Data_Anomalies!$D$2:$D$81,MATCH(LARGE(Data_Anomalies!$I$2:$I$81,3),Data_Anomalies!$I$2:$I$81,0))</f>
        <v>SUP-30</v>
      </c>
      <c r="K35" s="37">
        <f>LARGE(Data_Anomalies!$I$2:$I$81,3)/1000000</f>
        <v>17.329718</v>
      </c>
      <c r="L35" s="28" t="str">
        <f>INDEX(Data_Anomalies!$H$2:$H$81,MATCH(LARGE(Data_Anomalies!$I$2:$I$81,3),Data_Anomalies!$I$2:$I$81,0))</f>
        <v>Quantity anomaly</v>
      </c>
      <c r="N35" s="21" t="str">
        <f>INDEX(Data_Suppliers!$A$2:$A$51,MATCH(LARGE(Data_Suppliers!$G$2:$G$51,1),Data_Suppliers!$G$2:$G$51,0))</f>
        <v>SUP-46</v>
      </c>
      <c r="O35" s="26">
        <f>INDEX(Data_Suppliers!$F$2:$F$51,MATCH(LARGE(Data_Suppliers!$G$2:$G$51,1),Data_Suppliers!$G$2:$G$51,0))</f>
        <v>2</v>
      </c>
      <c r="P35" s="22">
        <f>LARGE(Data_Suppliers!$G$2:$G$51,1)/1000000</f>
        <v>38.217839140000002</v>
      </c>
      <c r="Q35" s="28" t="str">
        <f>INDEX(Data_Suppliers!$P$2:$P$51,MATCH(LARGE(Data_Suppliers!$G$2:$G$51,1),Data_Suppliers!$G$2:$G$51,0))</f>
        <v>IT Hardware</v>
      </c>
      <c r="R35" s="28" t="str">
        <f>INDEX(Data_Suppliers!$H$2:$H$51,MATCH(LARGE(Data_Suppliers!$G$2:$G$51,1),Data_Suppliers!$G$2:$G$51,0))</f>
        <v>ELEVATED</v>
      </c>
    </row>
    <row r="36" spans="2:18" x14ac:dyDescent="0.25">
      <c r="B36" s="21" t="str">
        <f>Data_Months!A11</f>
        <v>Oct</v>
      </c>
      <c r="C36" s="22">
        <f>Data_Months!B11</f>
        <v>264.2</v>
      </c>
      <c r="D36" s="22">
        <f>Data_Months!C11</f>
        <v>270.2</v>
      </c>
      <c r="E36" s="25">
        <f>Data_Months!D11</f>
        <v>6</v>
      </c>
      <c r="F36" s="24">
        <f>Data_Months!E11</f>
        <v>2.2710068130204375E-2</v>
      </c>
      <c r="H36" s="21" t="str">
        <f>INDEX(Data_Anomalies!$A$2:$A$81,MATCH(LARGE(Data_Anomalies!$I$2:$I$81,4),Data_Anomalies!$I$2:$I$81,0))</f>
        <v>PO-393878</v>
      </c>
      <c r="I36" s="39">
        <f>INDEX(Data_Anomalies!$B$2:$B$81,MATCH(LARGE(Data_Anomalies!$I$2:$I$81,4),Data_Anomalies!$I$2:$I$81,0))</f>
        <v>45993</v>
      </c>
      <c r="J36" s="28" t="str">
        <f>INDEX(Data_Anomalies!$D$2:$D$81,MATCH(LARGE(Data_Anomalies!$I$2:$I$81,4),Data_Anomalies!$I$2:$I$81,0))</f>
        <v>SUP-12</v>
      </c>
      <c r="K36" s="37">
        <f>LARGE(Data_Anomalies!$I$2:$I$81,4)/1000000</f>
        <v>13.782690000000001</v>
      </c>
      <c r="L36" s="28" t="str">
        <f>INDEX(Data_Anomalies!$H$2:$H$81,MATCH(LARGE(Data_Anomalies!$I$2:$I$81,4),Data_Anomalies!$I$2:$I$81,0))</f>
        <v>Quantity anomaly</v>
      </c>
      <c r="N36" s="21" t="str">
        <f>INDEX(Data_Suppliers!$A$2:$A$51,MATCH(LARGE(Data_Suppliers!$G$2:$G$51,2),Data_Suppliers!$G$2:$G$51,0))</f>
        <v>SUP-12</v>
      </c>
      <c r="O36" s="26">
        <f>INDEX(Data_Suppliers!$F$2:$F$51,MATCH(LARGE(Data_Suppliers!$G$2:$G$51,2),Data_Suppliers!$G$2:$G$51,0))</f>
        <v>6</v>
      </c>
      <c r="P36" s="22">
        <f>LARGE(Data_Suppliers!$G$2:$G$51,2)/1000000</f>
        <v>29.146079220000004</v>
      </c>
      <c r="Q36" s="28" t="str">
        <f>INDEX(Data_Suppliers!$P$2:$P$51,MATCH(LARGE(Data_Suppliers!$G$2:$G$51,2),Data_Suppliers!$G$2:$G$51,0))</f>
        <v>IT Hardware</v>
      </c>
      <c r="R36" s="28" t="str">
        <f>INDEX(Data_Suppliers!$H$2:$H$51,MATCH(LARGE(Data_Suppliers!$G$2:$G$51,2),Data_Suppliers!$G$2:$G$51,0))</f>
        <v>HIGH</v>
      </c>
    </row>
    <row r="37" spans="2:18" x14ac:dyDescent="0.25">
      <c r="B37" s="21" t="str">
        <f>Data_Months!A12</f>
        <v>Nov</v>
      </c>
      <c r="C37" s="22">
        <f>Data_Months!B12</f>
        <v>255.9</v>
      </c>
      <c r="D37" s="22">
        <f>Data_Months!C12</f>
        <v>261.89999999999998</v>
      </c>
      <c r="E37" s="25">
        <f>Data_Months!D12</f>
        <v>5.9999999999999716</v>
      </c>
      <c r="F37" s="24">
        <f>Data_Months!E12</f>
        <v>2.3446658851113522E-2</v>
      </c>
      <c r="H37" s="21" t="str">
        <f>INDEX(Data_Anomalies!$A$2:$A$81,MATCH(LARGE(Data_Anomalies!$I$2:$I$81,5),Data_Anomalies!$I$2:$I$81,0))</f>
        <v>PO-474907</v>
      </c>
      <c r="I37" s="39">
        <f>INDEX(Data_Anomalies!$B$2:$B$81,MATCH(LARGE(Data_Anomalies!$I$2:$I$81,5),Data_Anomalies!$I$2:$I$81,0))</f>
        <v>45874</v>
      </c>
      <c r="J37" s="28" t="str">
        <f>INDEX(Data_Anomalies!$D$2:$D$81,MATCH(LARGE(Data_Anomalies!$I$2:$I$81,5),Data_Anomalies!$I$2:$I$81,0))</f>
        <v>SUP-12</v>
      </c>
      <c r="K37" s="37">
        <f>LARGE(Data_Anomalies!$I$2:$I$81,5)/1000000</f>
        <v>10.47301</v>
      </c>
      <c r="L37" s="28" t="str">
        <f>INDEX(Data_Anomalies!$H$2:$H$81,MATCH(LARGE(Data_Anomalies!$I$2:$I$81,5),Data_Anomalies!$I$2:$I$81,0))</f>
        <v>Quantity anomaly</v>
      </c>
      <c r="N37" s="21" t="str">
        <f>INDEX(Data_Suppliers!$A$2:$A$51,MATCH(LARGE(Data_Suppliers!$G$2:$G$51,3),Data_Suppliers!$G$2:$G$51,0))</f>
        <v>SUP-14</v>
      </c>
      <c r="O37" s="26">
        <f>INDEX(Data_Suppliers!$F$2:$F$51,MATCH(LARGE(Data_Suppliers!$G$2:$G$51,3),Data_Suppliers!$G$2:$G$51,0))</f>
        <v>3</v>
      </c>
      <c r="P37" s="22">
        <f>LARGE(Data_Suppliers!$G$2:$G$51,3)/1000000</f>
        <v>27.107150000000001</v>
      </c>
      <c r="Q37" s="28" t="str">
        <f>INDEX(Data_Suppliers!$P$2:$P$51,MATCH(LARGE(Data_Suppliers!$G$2:$G$51,3),Data_Suppliers!$G$2:$G$51,0))</f>
        <v>IT Hardware</v>
      </c>
      <c r="R37" s="28" t="str">
        <f>INDEX(Data_Suppliers!$H$2:$H$51,MATCH(LARGE(Data_Suppliers!$G$2:$G$51,3),Data_Suppliers!$G$2:$G$51,0))</f>
        <v>ELEVATED</v>
      </c>
    </row>
    <row r="38" spans="2:18" x14ac:dyDescent="0.25">
      <c r="B38" s="21" t="str">
        <f>Data_Months!A13</f>
        <v>Dec</v>
      </c>
      <c r="C38" s="22">
        <f>Data_Months!B13</f>
        <v>257.2</v>
      </c>
      <c r="D38" s="22">
        <f>Data_Months!C13</f>
        <v>255.9</v>
      </c>
      <c r="E38" s="25">
        <f>Data_Months!D13</f>
        <v>-1.2999999999999829</v>
      </c>
      <c r="F38" s="24">
        <f>Data_Months!E13</f>
        <v>-5.0544323483669995E-3</v>
      </c>
      <c r="N38" s="21" t="str">
        <f>INDEX(Data_Suppliers!$A$2:$A$51,MATCH(LARGE(Data_Suppliers!$G$2:$G$51,4),Data_Suppliers!$G$2:$G$51,0))</f>
        <v>SUP-30</v>
      </c>
      <c r="O38" s="26">
        <f>INDEX(Data_Suppliers!$F$2:$F$51,MATCH(LARGE(Data_Suppliers!$G$2:$G$51,4),Data_Suppliers!$G$2:$G$51,0))</f>
        <v>3</v>
      </c>
      <c r="P38" s="22">
        <f>LARGE(Data_Suppliers!$G$2:$G$51,4)/1000000</f>
        <v>19.467355870000002</v>
      </c>
      <c r="Q38" s="28" t="str">
        <f>INDEX(Data_Suppliers!$P$2:$P$51,MATCH(LARGE(Data_Suppliers!$G$2:$G$51,4),Data_Suppliers!$G$2:$G$51,0))</f>
        <v>IT Hardware</v>
      </c>
      <c r="R38" s="28" t="str">
        <f>INDEX(Data_Suppliers!$H$2:$H$51,MATCH(LARGE(Data_Suppliers!$G$2:$G$51,4),Data_Suppliers!$G$2:$G$51,0))</f>
        <v>ELEVATED</v>
      </c>
    </row>
    <row r="39" spans="2:18" x14ac:dyDescent="0.25">
      <c r="B39" s="29" t="s">
        <v>30</v>
      </c>
      <c r="C39" s="31">
        <f>SUM(C27:C38)</f>
        <v>3149.9</v>
      </c>
      <c r="D39" s="31">
        <f>SUM(D27:D38)</f>
        <v>3145.2999999999997</v>
      </c>
      <c r="E39" s="36">
        <f>D39-C39</f>
        <v>-4.6000000000003638</v>
      </c>
      <c r="F39" s="35">
        <f>D39/C39-1</f>
        <v>-1.4603638210738401E-3</v>
      </c>
      <c r="H39" s="80" t="s">
        <v>47</v>
      </c>
      <c r="I39" s="80"/>
      <c r="J39" s="80"/>
      <c r="K39" s="80"/>
      <c r="L39" s="80"/>
      <c r="N39" s="21" t="str">
        <f>INDEX(Data_Suppliers!$A$2:$A$51,MATCH(LARGE(Data_Suppliers!$G$2:$G$51,5),Data_Suppliers!$G$2:$G$51,0))</f>
        <v>SUP-33</v>
      </c>
      <c r="O39" s="26">
        <f>INDEX(Data_Suppliers!$F$2:$F$51,MATCH(LARGE(Data_Suppliers!$G$2:$G$51,5),Data_Suppliers!$G$2:$G$51,0))</f>
        <v>1</v>
      </c>
      <c r="P39" s="22">
        <f>LARGE(Data_Suppliers!$G$2:$G$51,5)/1000000</f>
        <v>10.014222</v>
      </c>
      <c r="Q39" s="28" t="str">
        <f>INDEX(Data_Suppliers!$P$2:$P$51,MATCH(LARGE(Data_Suppliers!$G$2:$G$51,5),Data_Suppliers!$G$2:$G$51,0))</f>
        <v>Marketing Services</v>
      </c>
      <c r="R39" s="28" t="str">
        <f>INDEX(Data_Suppliers!$H$2:$H$51,MATCH(LARGE(Data_Suppliers!$G$2:$G$51,5),Data_Suppliers!$G$2:$G$51,0))</f>
        <v>LOW</v>
      </c>
    </row>
    <row r="40" spans="2:18" ht="23.25" x14ac:dyDescent="0.25">
      <c r="H40" s="17" t="s">
        <v>48</v>
      </c>
      <c r="I40" s="18" t="s">
        <v>44</v>
      </c>
      <c r="J40" s="18" t="s">
        <v>18</v>
      </c>
      <c r="K40" s="18" t="s">
        <v>49</v>
      </c>
      <c r="L40" s="17" t="s">
        <v>50</v>
      </c>
      <c r="N40" s="21" t="str">
        <f>INDEX(Data_Suppliers!$A$2:$A$51,MATCH(LARGE(Data_Suppliers!$G$2:$G$51,6),Data_Suppliers!$G$2:$G$51,0))</f>
        <v>SUP-01</v>
      </c>
      <c r="O40" s="26">
        <f>INDEX(Data_Suppliers!$F$2:$F$51,MATCH(LARGE(Data_Suppliers!$G$2:$G$51,6),Data_Suppliers!$G$2:$G$51,0))</f>
        <v>5</v>
      </c>
      <c r="P40" s="22">
        <f>LARGE(Data_Suppliers!$G$2:$G$51,6)/1000000</f>
        <v>8.2091567599999991</v>
      </c>
      <c r="Q40" s="28" t="str">
        <f>INDEX(Data_Suppliers!$P$2:$P$51,MATCH(LARGE(Data_Suppliers!$G$2:$G$51,6),Data_Suppliers!$G$2:$G$51,0))</f>
        <v>Marketing Services</v>
      </c>
      <c r="R40" s="28" t="str">
        <f>INDEX(Data_Suppliers!$H$2:$H$51,MATCH(LARGE(Data_Suppliers!$G$2:$G$51,6),Data_Suppliers!$G$2:$G$51,0))</f>
        <v>HIGH</v>
      </c>
    </row>
    <row r="41" spans="2:18" x14ac:dyDescent="0.25">
      <c r="B41" s="79" t="s">
        <v>51</v>
      </c>
      <c r="C41" s="79"/>
      <c r="D41" s="79"/>
      <c r="E41" s="79"/>
      <c r="F41" s="79"/>
      <c r="H41" s="21" t="str">
        <f>INDEX(Data_Buyers!$A$2:$A$11,MATCH(LARGE(Data_Buyers!$F$2:$F$11,1),Data_Buyers!$F$2:$F$11,0))</f>
        <v>BUYER-06</v>
      </c>
      <c r="I41" s="26">
        <f>INDEX(Data_Buyers!$E$2:$E$11,MATCH(LARGE(Data_Buyers!$F$2:$F$11,1),Data_Buyers!$F$2:$F$11,0))</f>
        <v>8</v>
      </c>
      <c r="J41" s="22">
        <f>LARGE(Data_Buyers!$F$2:$F$11,1)/1000000</f>
        <v>47.409539159999994</v>
      </c>
      <c r="K41" s="23">
        <f>INDEX(Data_Buyers!$G$2:$G$11,MATCH(LARGE(Data_Buyers!$F$2:$F$11,1),Data_Buyers!$F$2:$F$11,0))</f>
        <v>0.24640337878998222</v>
      </c>
      <c r="L41" s="28" t="str">
        <f>INDEX(Data_Buyers!$H$2:$H$11,MATCH(LARGE(Data_Buyers!$F$2:$F$11,1),Data_Buyers!$F$2:$F$11,0))</f>
        <v>HIGH</v>
      </c>
      <c r="N41" s="21" t="str">
        <f>INDEX(Data_Suppliers!$A$2:$A$51,MATCH(LARGE(Data_Suppliers!$G$2:$G$51,7),Data_Suppliers!$G$2:$G$51,0))</f>
        <v>SUP-22</v>
      </c>
      <c r="O41" s="26">
        <f>INDEX(Data_Suppliers!$F$2:$F$51,MATCH(LARGE(Data_Suppliers!$G$2:$G$51,7),Data_Suppliers!$G$2:$G$51,0))</f>
        <v>1</v>
      </c>
      <c r="P41" s="22">
        <f>LARGE(Data_Suppliers!$G$2:$G$51,7)/1000000</f>
        <v>8.0124949999999995</v>
      </c>
      <c r="Q41" s="28" t="str">
        <f>INDEX(Data_Suppliers!$P$2:$P$51,MATCH(LARGE(Data_Suppliers!$G$2:$G$51,7),Data_Suppliers!$G$2:$G$51,0))</f>
        <v>Marketing Services</v>
      </c>
      <c r="R41" s="28" t="str">
        <f>INDEX(Data_Suppliers!$H$2:$H$51,MATCH(LARGE(Data_Suppliers!$G$2:$G$51,7),Data_Suppliers!$G$2:$G$51,0))</f>
        <v>LOW</v>
      </c>
    </row>
    <row r="42" spans="2:18" x14ac:dyDescent="0.25">
      <c r="H42" s="21" t="str">
        <f>INDEX(Data_Buyers!$A$2:$A$11,MATCH(LARGE(Data_Buyers!$F$2:$F$11,2),Data_Buyers!$F$2:$F$11,0))</f>
        <v>BUYER-02</v>
      </c>
      <c r="I42" s="26">
        <f>INDEX(Data_Buyers!$E$2:$E$11,MATCH(LARGE(Data_Buyers!$F$2:$F$11,2),Data_Buyers!$F$2:$F$11,0))</f>
        <v>8</v>
      </c>
      <c r="J42" s="22">
        <f>LARGE(Data_Buyers!$F$2:$F$11,2)/1000000</f>
        <v>38.967941350000004</v>
      </c>
      <c r="K42" s="23">
        <f>INDEX(Data_Buyers!$G$2:$G$11,MATCH(LARGE(Data_Buyers!$F$2:$F$11,2),Data_Buyers!$F$2:$F$11,0))</f>
        <v>0.2025295453880101</v>
      </c>
      <c r="L42" s="28" t="str">
        <f>INDEX(Data_Buyers!$H$2:$H$11,MATCH(LARGE(Data_Buyers!$F$2:$F$11,2),Data_Buyers!$F$2:$F$11,0))</f>
        <v>HIGH</v>
      </c>
      <c r="N42" s="21" t="str">
        <f>INDEX(Data_Suppliers!$A$2:$A$51,MATCH(LARGE(Data_Suppliers!$G$2:$G$51,8),Data_Suppliers!$G$2:$G$51,0))</f>
        <v>SUP-43</v>
      </c>
      <c r="O42" s="26">
        <f>INDEX(Data_Suppliers!$F$2:$F$51,MATCH(LARGE(Data_Suppliers!$G$2:$G$51,8),Data_Suppliers!$G$2:$G$51,0))</f>
        <v>3</v>
      </c>
      <c r="P42" s="22">
        <f>LARGE(Data_Suppliers!$G$2:$G$51,8)/1000000</f>
        <v>7.2158462500000002</v>
      </c>
      <c r="Q42" s="28" t="str">
        <f>INDEX(Data_Suppliers!$P$2:$P$51,MATCH(LARGE(Data_Suppliers!$G$2:$G$51,8),Data_Suppliers!$G$2:$G$51,0))</f>
        <v>Marketing Services</v>
      </c>
      <c r="R42" s="28" t="str">
        <f>INDEX(Data_Suppliers!$H$2:$H$51,MATCH(LARGE(Data_Suppliers!$G$2:$G$51,8),Data_Suppliers!$G$2:$G$51,0))</f>
        <v>ELEVATED</v>
      </c>
    </row>
    <row r="43" spans="2:18" x14ac:dyDescent="0.25">
      <c r="H43" s="21" t="str">
        <f>INDEX(Data_Buyers!$A$2:$A$11,MATCH(LARGE(Data_Buyers!$F$2:$F$11,3),Data_Buyers!$F$2:$F$11,0))</f>
        <v>BUYER-09</v>
      </c>
      <c r="I43" s="26">
        <f>INDEX(Data_Buyers!$E$2:$E$11,MATCH(LARGE(Data_Buyers!$F$2:$F$11,3),Data_Buyers!$F$2:$F$11,0))</f>
        <v>10</v>
      </c>
      <c r="J43" s="22">
        <f>LARGE(Data_Buyers!$F$2:$F$11,3)/1000000</f>
        <v>37.437344699999997</v>
      </c>
      <c r="K43" s="23">
        <f>INDEX(Data_Buyers!$G$2:$G$11,MATCH(LARGE(Data_Buyers!$F$2:$F$11,3),Data_Buyers!$F$2:$F$11,0))</f>
        <v>0.19457451792292918</v>
      </c>
      <c r="L43" s="28" t="str">
        <f>INDEX(Data_Buyers!$H$2:$H$11,MATCH(LARGE(Data_Buyers!$F$2:$F$11,3),Data_Buyers!$F$2:$F$11,0))</f>
        <v>HIGH</v>
      </c>
    </row>
    <row r="44" spans="2:18" x14ac:dyDescent="0.25">
      <c r="H44" s="21" t="str">
        <f>INDEX(Data_Buyers!$A$2:$A$11,MATCH(LARGE(Data_Buyers!$F$2:$F$11,4),Data_Buyers!$F$2:$F$11,0))</f>
        <v>BUYER-05</v>
      </c>
      <c r="I44" s="26">
        <f>INDEX(Data_Buyers!$E$2:$E$11,MATCH(LARGE(Data_Buyers!$F$2:$F$11,4),Data_Buyers!$F$2:$F$11,0))</f>
        <v>7</v>
      </c>
      <c r="J44" s="22">
        <f>LARGE(Data_Buyers!$F$2:$F$11,4)/1000000</f>
        <v>18.629954300000005</v>
      </c>
      <c r="K44" s="23">
        <f>INDEX(Data_Buyers!$G$2:$G$11,MATCH(LARGE(Data_Buyers!$F$2:$F$11,4),Data_Buyers!$F$2:$F$11,0))</f>
        <v>9.6826161307554032E-2</v>
      </c>
      <c r="L44" s="28" t="str">
        <f>INDEX(Data_Buyers!$H$2:$H$11,MATCH(LARGE(Data_Buyers!$F$2:$F$11,4),Data_Buyers!$F$2:$F$11,0))</f>
        <v>MEDIUM</v>
      </c>
      <c r="N44" s="81" t="s">
        <v>52</v>
      </c>
      <c r="O44" s="81"/>
      <c r="P44" s="81"/>
      <c r="Q44" s="81"/>
      <c r="R44" s="81"/>
    </row>
    <row r="45" spans="2:18" x14ac:dyDescent="0.25">
      <c r="H45" s="21" t="str">
        <f>INDEX(Data_Buyers!$A$2:$A$11,MATCH(LARGE(Data_Buyers!$F$2:$F$11,5),Data_Buyers!$F$2:$F$11,0))</f>
        <v>BUYER-08</v>
      </c>
      <c r="I45" s="26">
        <f>INDEX(Data_Buyers!$E$2:$E$11,MATCH(LARGE(Data_Buyers!$F$2:$F$11,5),Data_Buyers!$F$2:$F$11,0))</f>
        <v>10</v>
      </c>
      <c r="J45" s="22">
        <f>LARGE(Data_Buyers!$F$2:$F$11,5)/1000000</f>
        <v>16.359616709999997</v>
      </c>
      <c r="K45" s="23">
        <f>INDEX(Data_Buyers!$G$2:$G$11,MATCH(LARGE(Data_Buyers!$F$2:$F$11,5),Data_Buyers!$F$2:$F$11,0))</f>
        <v>8.5026450467042519E-2</v>
      </c>
      <c r="L45" s="28" t="str">
        <f>INDEX(Data_Buyers!$H$2:$H$11,MATCH(LARGE(Data_Buyers!$F$2:$F$11,5),Data_Buyers!$F$2:$F$11,0))</f>
        <v>HIGH</v>
      </c>
      <c r="N45" s="19" t="s">
        <v>48</v>
      </c>
      <c r="O45" s="20" t="s">
        <v>18</v>
      </c>
      <c r="P45" s="20" t="s">
        <v>23</v>
      </c>
      <c r="Q45" s="20" t="s">
        <v>53</v>
      </c>
      <c r="R45" s="20" t="s">
        <v>27</v>
      </c>
    </row>
    <row r="46" spans="2:18" x14ac:dyDescent="0.25">
      <c r="H46" s="21" t="str">
        <f>INDEX(Data_Buyers!$A$2:$A$11,MATCH(LARGE(Data_Buyers!$F$2:$F$11,6),Data_Buyers!$F$2:$F$11,0))</f>
        <v>BUYER-03</v>
      </c>
      <c r="I46" s="26">
        <f>INDEX(Data_Buyers!$E$2:$E$11,MATCH(LARGE(Data_Buyers!$F$2:$F$11,6),Data_Buyers!$F$2:$F$11,0))</f>
        <v>8</v>
      </c>
      <c r="J46" s="22">
        <f>LARGE(Data_Buyers!$F$2:$F$11,6)/1000000</f>
        <v>13.584968700000001</v>
      </c>
      <c r="K46" s="23">
        <f>INDEX(Data_Buyers!$G$2:$G$11,MATCH(LARGE(Data_Buyers!$F$2:$F$11,6),Data_Buyers!$F$2:$F$11,0))</f>
        <v>7.0605668136516697E-2</v>
      </c>
      <c r="L46" s="28" t="str">
        <f>INDEX(Data_Buyers!$H$2:$H$11,MATCH(LARGE(Data_Buyers!$F$2:$F$11,6),Data_Buyers!$F$2:$F$11,0))</f>
        <v>HIGH</v>
      </c>
      <c r="N46" s="21" t="str">
        <f>INDEX(Data_Buyers!$A$2:$A$11,MATCH(LARGE(Data_Buyers!$B$2:$B$11,1),Data_Buyers!$B$2:$B$11,0))</f>
        <v>BUYER-09</v>
      </c>
      <c r="O46" s="22">
        <f>LARGE(Data_Buyers!$B$2:$B$11,1)</f>
        <v>655</v>
      </c>
      <c r="P46" s="26">
        <f>INDEX(Data_Buyers!$C$2:$C$11,MATCH(LARGE(Data_Buyers!$B$2:$B$11,1),Data_Buyers!$B$2:$B$11,0))</f>
        <v>9887</v>
      </c>
      <c r="Q46" s="26">
        <f>INDEX(Data_Buyers!$D$2:$D$11,MATCH(LARGE(Data_Buyers!$B$2:$B$11,1),Data_Buyers!$B$2:$B$11,0))</f>
        <v>66248.609284919585</v>
      </c>
      <c r="R46" s="26">
        <f>INDEX(Data_Buyers!$E$2:$E$11,MATCH(LARGE(Data_Buyers!$B$2:$B$11,1),Data_Buyers!$B$2:$B$11,0))</f>
        <v>10</v>
      </c>
    </row>
    <row r="47" spans="2:18" x14ac:dyDescent="0.25">
      <c r="H47" s="21" t="str">
        <f>INDEX(Data_Buyers!$A$2:$A$11,MATCH(LARGE(Data_Buyers!$F$2:$F$11,7),Data_Buyers!$F$2:$F$11,0))</f>
        <v>BUYER-10</v>
      </c>
      <c r="I47" s="26">
        <f>INDEX(Data_Buyers!$E$2:$E$11,MATCH(LARGE(Data_Buyers!$F$2:$F$11,7),Data_Buyers!$F$2:$F$11,0))</f>
        <v>8</v>
      </c>
      <c r="J47" s="22">
        <f>LARGE(Data_Buyers!$F$2:$F$11,7)/1000000</f>
        <v>8.4292812899999987</v>
      </c>
      <c r="K47" s="23">
        <f>INDEX(Data_Buyers!$G$2:$G$11,MATCH(LARGE(Data_Buyers!$F$2:$F$11,7),Data_Buyers!$F$2:$F$11,0))</f>
        <v>4.3809820289912725E-2</v>
      </c>
      <c r="L47" s="28" t="str">
        <f>INDEX(Data_Buyers!$H$2:$H$11,MATCH(LARGE(Data_Buyers!$F$2:$F$11,7),Data_Buyers!$F$2:$F$11,0))</f>
        <v>HIGH</v>
      </c>
      <c r="N47" s="21" t="str">
        <f>INDEX(Data_Buyers!$A$2:$A$11,MATCH(LARGE(Data_Buyers!$B$2:$B$11,2),Data_Buyers!$B$2:$B$11,0))</f>
        <v>BUYER-06</v>
      </c>
      <c r="O47" s="22">
        <f>LARGE(Data_Buyers!$B$2:$B$11,2)</f>
        <v>653.70000000000005</v>
      </c>
      <c r="P47" s="26">
        <f>INDEX(Data_Buyers!$C$2:$C$11,MATCH(LARGE(Data_Buyers!$B$2:$B$11,2),Data_Buyers!$B$2:$B$11,0))</f>
        <v>10025</v>
      </c>
      <c r="Q47" s="26">
        <f>INDEX(Data_Buyers!$D$2:$D$11,MATCH(LARGE(Data_Buyers!$B$2:$B$11,2),Data_Buyers!$B$2:$B$11,0))</f>
        <v>65206.982543640901</v>
      </c>
      <c r="R47" s="26">
        <f>INDEX(Data_Buyers!$E$2:$E$11,MATCH(LARGE(Data_Buyers!$B$2:$B$11,2),Data_Buyers!$B$2:$B$11,0))</f>
        <v>8</v>
      </c>
    </row>
    <row r="48" spans="2:18" x14ac:dyDescent="0.25">
      <c r="H48" s="21" t="str">
        <f>INDEX(Data_Buyers!$A$2:$A$11,MATCH(LARGE(Data_Buyers!$F$2:$F$11,8),Data_Buyers!$F$2:$F$11,0))</f>
        <v>BUYER-04</v>
      </c>
      <c r="I48" s="26">
        <f>INDEX(Data_Buyers!$E$2:$E$11,MATCH(LARGE(Data_Buyers!$F$2:$F$11,8),Data_Buyers!$F$2:$F$11,0))</f>
        <v>9</v>
      </c>
      <c r="J48" s="22">
        <f>LARGE(Data_Buyers!$F$2:$F$11,8)/1000000</f>
        <v>5.6304517600000006</v>
      </c>
      <c r="K48" s="23">
        <f>INDEX(Data_Buyers!$G$2:$G$11,MATCH(LARGE(Data_Buyers!$F$2:$F$11,8),Data_Buyers!$F$2:$F$11,0))</f>
        <v>2.9263358437125173E-2</v>
      </c>
      <c r="L48" s="28" t="str">
        <f>INDEX(Data_Buyers!$H$2:$H$11,MATCH(LARGE(Data_Buyers!$F$2:$F$11,8),Data_Buyers!$F$2:$F$11,0))</f>
        <v>HIGH</v>
      </c>
      <c r="N48" s="21" t="str">
        <f>INDEX(Data_Buyers!$A$2:$A$11,MATCH(LARGE(Data_Buyers!$B$2:$B$11,3),Data_Buyers!$B$2:$B$11,0))</f>
        <v>BUYER-02</v>
      </c>
      <c r="O48" s="22">
        <f>LARGE(Data_Buyers!$B$2:$B$11,3)</f>
        <v>645.6</v>
      </c>
      <c r="P48" s="26">
        <f>INDEX(Data_Buyers!$C$2:$C$11,MATCH(LARGE(Data_Buyers!$B$2:$B$11,3),Data_Buyers!$B$2:$B$11,0))</f>
        <v>10015</v>
      </c>
      <c r="Q48" s="26">
        <f>INDEX(Data_Buyers!$D$2:$D$11,MATCH(LARGE(Data_Buyers!$B$2:$B$11,3),Data_Buyers!$B$2:$B$11,0))</f>
        <v>64463.305042436346</v>
      </c>
      <c r="R48" s="26">
        <f>INDEX(Data_Buyers!$E$2:$E$11,MATCH(LARGE(Data_Buyers!$B$2:$B$11,3),Data_Buyers!$B$2:$B$11,0))</f>
        <v>8</v>
      </c>
    </row>
    <row r="49" spans="2:18" x14ac:dyDescent="0.25">
      <c r="H49" s="21" t="str">
        <f>INDEX(Data_Buyers!$A$2:$A$11,MATCH(LARGE(Data_Buyers!$F$2:$F$11,9),Data_Buyers!$F$2:$F$11,0))</f>
        <v>BUYER-07</v>
      </c>
      <c r="I49" s="26">
        <f>INDEX(Data_Buyers!$E$2:$E$11,MATCH(LARGE(Data_Buyers!$F$2:$F$11,9),Data_Buyers!$F$2:$F$11,0))</f>
        <v>8</v>
      </c>
      <c r="J49" s="22">
        <f>LARGE(Data_Buyers!$F$2:$F$11,9)/1000000</f>
        <v>5.1744645299999998</v>
      </c>
      <c r="K49" s="23">
        <f>INDEX(Data_Buyers!$G$2:$G$11,MATCH(LARGE(Data_Buyers!$F$2:$F$11,9),Data_Buyers!$F$2:$F$11,0))</f>
        <v>2.6893438877732333E-2</v>
      </c>
      <c r="L49" s="28" t="str">
        <f>INDEX(Data_Buyers!$H$2:$H$11,MATCH(LARGE(Data_Buyers!$F$2:$F$11,9),Data_Buyers!$F$2:$F$11,0))</f>
        <v>HIGH</v>
      </c>
      <c r="N49" s="21" t="str">
        <f>INDEX(Data_Buyers!$A$2:$A$11,MATCH(LARGE(Data_Buyers!$B$2:$B$11,4),Data_Buyers!$B$2:$B$11,0))</f>
        <v>BUYER-10</v>
      </c>
      <c r="O49" s="22">
        <f>LARGE(Data_Buyers!$B$2:$B$11,4)</f>
        <v>636.6</v>
      </c>
      <c r="P49" s="26">
        <f>INDEX(Data_Buyers!$C$2:$C$11,MATCH(LARGE(Data_Buyers!$B$2:$B$11,4),Data_Buyers!$B$2:$B$11,0))</f>
        <v>10062</v>
      </c>
      <c r="Q49" s="26">
        <f>INDEX(Data_Buyers!$D$2:$D$11,MATCH(LARGE(Data_Buyers!$B$2:$B$11,4),Data_Buyers!$B$2:$B$11,0))</f>
        <v>63267.740011926056</v>
      </c>
      <c r="R49" s="26">
        <f>INDEX(Data_Buyers!$E$2:$E$11,MATCH(LARGE(Data_Buyers!$B$2:$B$11,4),Data_Buyers!$B$2:$B$11,0))</f>
        <v>8</v>
      </c>
    </row>
    <row r="50" spans="2:18" x14ac:dyDescent="0.25">
      <c r="H50" s="21" t="str">
        <f>INDEX(Data_Buyers!$A$2:$A$11,MATCH(LARGE(Data_Buyers!$F$2:$F$11,10),Data_Buyers!$F$2:$F$11,0))</f>
        <v>BUYER-01</v>
      </c>
      <c r="I50" s="26">
        <f>INDEX(Data_Buyers!$E$2:$E$11,MATCH(LARGE(Data_Buyers!$F$2:$F$11,10),Data_Buyers!$F$2:$F$11,0))</f>
        <v>4</v>
      </c>
      <c r="J50" s="22">
        <f>LARGE(Data_Buyers!$F$2:$F$11,10)/1000000</f>
        <v>0.78264310000000015</v>
      </c>
      <c r="K50" s="23">
        <f>INDEX(Data_Buyers!$G$2:$G$11,MATCH(LARGE(Data_Buyers!$F$2:$F$11,10),Data_Buyers!$F$2:$F$11,0))</f>
        <v>4.0676603831950424E-3</v>
      </c>
      <c r="L50" s="28" t="str">
        <f>INDEX(Data_Buyers!$H$2:$H$11,MATCH(LARGE(Data_Buyers!$F$2:$F$11,10),Data_Buyers!$F$2:$F$11,0))</f>
        <v>LOW</v>
      </c>
      <c r="N50" s="21" t="str">
        <f>INDEX(Data_Buyers!$A$2:$A$11,MATCH(LARGE(Data_Buyers!$B$2:$B$11,5),Data_Buyers!$B$2:$B$11,0))</f>
        <v>BUYER-07</v>
      </c>
      <c r="O50" s="22">
        <f>LARGE(Data_Buyers!$B$2:$B$11,5)</f>
        <v>631.20000000000005</v>
      </c>
      <c r="P50" s="26">
        <f>INDEX(Data_Buyers!$C$2:$C$11,MATCH(LARGE(Data_Buyers!$B$2:$B$11,5),Data_Buyers!$B$2:$B$11,0))</f>
        <v>10143</v>
      </c>
      <c r="Q50" s="26">
        <f>INDEX(Data_Buyers!$D$2:$D$11,MATCH(LARGE(Data_Buyers!$B$2:$B$11,5),Data_Buyers!$B$2:$B$11,0))</f>
        <v>62230.109435078382</v>
      </c>
      <c r="R50" s="26">
        <f>INDEX(Data_Buyers!$E$2:$E$11,MATCH(LARGE(Data_Buyers!$B$2:$B$11,5),Data_Buyers!$B$2:$B$11,0))</f>
        <v>8</v>
      </c>
    </row>
    <row r="51" spans="2:18" x14ac:dyDescent="0.25">
      <c r="N51" s="21" t="str">
        <f>INDEX(Data_Buyers!$A$2:$A$11,MATCH(LARGE(Data_Buyers!$B$2:$B$11,6),Data_Buyers!$B$2:$B$11,0))</f>
        <v>BUYER-03</v>
      </c>
      <c r="O51" s="22">
        <f>LARGE(Data_Buyers!$B$2:$B$11,6)</f>
        <v>630.6</v>
      </c>
      <c r="P51" s="26">
        <f>INDEX(Data_Buyers!$C$2:$C$11,MATCH(LARGE(Data_Buyers!$B$2:$B$11,6),Data_Buyers!$B$2:$B$11,0))</f>
        <v>10164</v>
      </c>
      <c r="Q51" s="26">
        <f>INDEX(Data_Buyers!$D$2:$D$11,MATCH(LARGE(Data_Buyers!$B$2:$B$11,6),Data_Buyers!$B$2:$B$11,0))</f>
        <v>62042.502951593859</v>
      </c>
      <c r="R51" s="26">
        <f>INDEX(Data_Buyers!$E$2:$E$11,MATCH(LARGE(Data_Buyers!$B$2:$B$11,6),Data_Buyers!$B$2:$B$11,0))</f>
        <v>8</v>
      </c>
    </row>
    <row r="52" spans="2:18" x14ac:dyDescent="0.25">
      <c r="N52" s="21" t="str">
        <f>INDEX(Data_Buyers!$A$2:$A$11,MATCH(LARGE(Data_Buyers!$B$2:$B$11,7),Data_Buyers!$B$2:$B$11,0))</f>
        <v>BUYER-08</v>
      </c>
      <c r="O52" s="22">
        <f>LARGE(Data_Buyers!$B$2:$B$11,7)</f>
        <v>616.20000000000005</v>
      </c>
      <c r="P52" s="26">
        <f>INDEX(Data_Buyers!$C$2:$C$11,MATCH(LARGE(Data_Buyers!$B$2:$B$11,7),Data_Buyers!$B$2:$B$11,0))</f>
        <v>9946</v>
      </c>
      <c r="Q52" s="26">
        <f>INDEX(Data_Buyers!$D$2:$D$11,MATCH(LARGE(Data_Buyers!$B$2:$B$11,7),Data_Buyers!$B$2:$B$11,0))</f>
        <v>61954.554594811983</v>
      </c>
      <c r="R52" s="26">
        <f>INDEX(Data_Buyers!$E$2:$E$11,MATCH(LARGE(Data_Buyers!$B$2:$B$11,7),Data_Buyers!$B$2:$B$11,0))</f>
        <v>10</v>
      </c>
    </row>
    <row r="53" spans="2:18" x14ac:dyDescent="0.25">
      <c r="N53" s="21" t="str">
        <f>INDEX(Data_Buyers!$A$2:$A$11,MATCH(LARGE(Data_Buyers!$B$2:$B$11,8),Data_Buyers!$B$2:$B$11,0))</f>
        <v>BUYER-04</v>
      </c>
      <c r="O53" s="22">
        <f>LARGE(Data_Buyers!$B$2:$B$11,8)</f>
        <v>615.6</v>
      </c>
      <c r="P53" s="26">
        <f>INDEX(Data_Buyers!$C$2:$C$11,MATCH(LARGE(Data_Buyers!$B$2:$B$11,8),Data_Buyers!$B$2:$B$11,0))</f>
        <v>9817</v>
      </c>
      <c r="Q53" s="26">
        <f>INDEX(Data_Buyers!$D$2:$D$11,MATCH(LARGE(Data_Buyers!$B$2:$B$11,8),Data_Buyers!$B$2:$B$11,0))</f>
        <v>62707.548130793519</v>
      </c>
      <c r="R53" s="26">
        <f>INDEX(Data_Buyers!$E$2:$E$11,MATCH(LARGE(Data_Buyers!$B$2:$B$11,8),Data_Buyers!$B$2:$B$11,0))</f>
        <v>9</v>
      </c>
    </row>
    <row r="54" spans="2:18" x14ac:dyDescent="0.25">
      <c r="N54" s="21" t="str">
        <f>INDEX(Data_Buyers!$A$2:$A$11,MATCH(LARGE(Data_Buyers!$B$2:$B$11,9),Data_Buyers!$B$2:$B$11,0))</f>
        <v>BUYER-05</v>
      </c>
      <c r="O54" s="22">
        <f>LARGE(Data_Buyers!$B$2:$B$11,9)</f>
        <v>614</v>
      </c>
      <c r="P54" s="26">
        <f>INDEX(Data_Buyers!$C$2:$C$11,MATCH(LARGE(Data_Buyers!$B$2:$B$11,9),Data_Buyers!$B$2:$B$11,0))</f>
        <v>10062</v>
      </c>
      <c r="Q54" s="26">
        <f>INDEX(Data_Buyers!$D$2:$D$11,MATCH(LARGE(Data_Buyers!$B$2:$B$11,9),Data_Buyers!$B$2:$B$11,0))</f>
        <v>61021.665672828465</v>
      </c>
      <c r="R54" s="26">
        <f>INDEX(Data_Buyers!$E$2:$E$11,MATCH(LARGE(Data_Buyers!$B$2:$B$11,9),Data_Buyers!$B$2:$B$11,0))</f>
        <v>7</v>
      </c>
    </row>
    <row r="55" spans="2:18" x14ac:dyDescent="0.25">
      <c r="N55" s="21" t="str">
        <f>INDEX(Data_Buyers!$A$2:$A$11,MATCH(LARGE(Data_Buyers!$B$2:$B$11,10),Data_Buyers!$B$2:$B$11,0))</f>
        <v>BUYER-01</v>
      </c>
      <c r="O55" s="22">
        <f>LARGE(Data_Buyers!$B$2:$B$11,10)</f>
        <v>597</v>
      </c>
      <c r="P55" s="26">
        <f>INDEX(Data_Buyers!$C$2:$C$11,MATCH(LARGE(Data_Buyers!$B$2:$B$11,10),Data_Buyers!$B$2:$B$11,0))</f>
        <v>9879</v>
      </c>
      <c r="Q55" s="26">
        <f>INDEX(Data_Buyers!$D$2:$D$11,MATCH(LARGE(Data_Buyers!$B$2:$B$11,10),Data_Buyers!$B$2:$B$11,0))</f>
        <v>60431.217734588521</v>
      </c>
      <c r="R55" s="26">
        <f>INDEX(Data_Buyers!$E$2:$E$11,MATCH(LARGE(Data_Buyers!$B$2:$B$11,10),Data_Buyers!$B$2:$B$11,0))</f>
        <v>4</v>
      </c>
    </row>
    <row r="57" spans="2:18" x14ac:dyDescent="0.25">
      <c r="B57" s="79" t="s">
        <v>54</v>
      </c>
      <c r="C57" s="79"/>
      <c r="D57" s="79"/>
      <c r="E57" s="79"/>
      <c r="F57" s="79"/>
      <c r="H57" s="80" t="s">
        <v>55</v>
      </c>
      <c r="I57" s="80"/>
      <c r="J57" s="80"/>
      <c r="K57" s="80"/>
      <c r="L57" s="80"/>
      <c r="N57" s="81" t="s">
        <v>56</v>
      </c>
      <c r="O57" s="81"/>
      <c r="P57" s="81"/>
      <c r="Q57" s="81"/>
      <c r="R57" s="81"/>
    </row>
    <row r="76" spans="2:18" ht="19.5" customHeight="1" x14ac:dyDescent="0.25">
      <c r="B76" s="82" t="s">
        <v>57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</row>
    <row r="77" spans="2:18" x14ac:dyDescent="0.25">
      <c r="B77" s="83" t="s">
        <v>58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</row>
    <row r="78" spans="2:18" ht="15" customHeight="1" x14ac:dyDescent="0.25">
      <c r="B78" s="84" t="s">
        <v>59</v>
      </c>
      <c r="C78" s="84"/>
      <c r="D78" s="84" t="s">
        <v>60</v>
      </c>
      <c r="E78" s="84"/>
      <c r="F78" s="84"/>
      <c r="G78" s="84"/>
      <c r="H78" s="84"/>
      <c r="I78" s="84"/>
      <c r="J78" s="84"/>
      <c r="K78" s="84"/>
      <c r="L78" s="40" t="s">
        <v>61</v>
      </c>
      <c r="N78" s="84" t="s">
        <v>62</v>
      </c>
      <c r="O78" s="84"/>
      <c r="P78" s="84" t="s">
        <v>63</v>
      </c>
      <c r="Q78" s="84"/>
      <c r="R78" s="84"/>
    </row>
    <row r="79" spans="2:18" ht="27.75" customHeight="1" x14ac:dyDescent="0.25">
      <c r="B79" s="85" t="s">
        <v>64</v>
      </c>
      <c r="C79" s="85"/>
      <c r="D79" s="86" t="str">
        <f>"Quantity anomalies: "&amp;Calculations!$E$14&amp;" transactions with an inflated order quantity"</f>
        <v>Quantity anomalies: 30 transactions with an inflated order quantity</v>
      </c>
      <c r="E79" s="86"/>
      <c r="F79" s="86"/>
      <c r="G79" s="86"/>
      <c r="H79" s="86"/>
      <c r="I79" s="86"/>
      <c r="J79" s="86"/>
      <c r="K79" s="86"/>
      <c r="L79" s="41">
        <f>SUM(Calculations!$H$2:$H$7)</f>
        <v>165.48789400000004</v>
      </c>
      <c r="N79" s="86" t="str">
        <f>Calculations!$G$12</f>
        <v>IT Hardware</v>
      </c>
      <c r="O79" s="86"/>
      <c r="P79" s="86" t="s">
        <v>65</v>
      </c>
      <c r="Q79" s="86"/>
      <c r="R79" s="86"/>
    </row>
    <row r="80" spans="2:18" ht="27.75" customHeight="1" x14ac:dyDescent="0.25">
      <c r="B80" s="85" t="s">
        <v>64</v>
      </c>
      <c r="C80" s="85"/>
      <c r="D80" s="86" t="str">
        <f>"Largest single order "&amp;Calculations!$B$11&amp;": "&amp;FIXED(Calculations!$B$9/1000000,2)&amp;" M PLN ("&amp;Calculations!$B$12&amp;", "&amp;Calculations!$B$13&amp;", "&amp;Calculations!$B$14&amp;")"</f>
        <v>Largest single order PO-817370: 38.21 M PLN (SUP-46, IT Hardware, 31.08.2024)</v>
      </c>
      <c r="E80" s="86"/>
      <c r="F80" s="86"/>
      <c r="G80" s="86"/>
      <c r="H80" s="86"/>
      <c r="I80" s="86"/>
      <c r="J80" s="86"/>
      <c r="K80" s="86"/>
      <c r="L80" s="41">
        <f>Calculations!$B$9/1000000</f>
        <v>38.213365000000003</v>
      </c>
      <c r="N80" s="86" t="str">
        <f>Calculations!$B$12</f>
        <v>SUP-46</v>
      </c>
      <c r="O80" s="86"/>
      <c r="P80" s="86" t="s">
        <v>66</v>
      </c>
      <c r="Q80" s="86"/>
      <c r="R80" s="86"/>
    </row>
    <row r="81" spans="2:18" ht="27.75" customHeight="1" x14ac:dyDescent="0.25">
      <c r="B81" s="85" t="s">
        <v>64</v>
      </c>
      <c r="C81" s="85"/>
      <c r="D81" s="86" t="str">
        <f>"Price anomalies: "&amp;Calculations!$E$13&amp;" transactions with a unit price above the category norm"</f>
        <v>Price anomalies: 50 transactions with a unit price above the category norm</v>
      </c>
      <c r="E81" s="86"/>
      <c r="F81" s="86"/>
      <c r="G81" s="86"/>
      <c r="H81" s="86"/>
      <c r="I81" s="86"/>
      <c r="J81" s="86"/>
      <c r="K81" s="86"/>
      <c r="L81" s="41">
        <f>SUM(Calculations!$G$2:$G$7)</f>
        <v>26.918311600000003</v>
      </c>
      <c r="N81" s="86" t="str">
        <f>Calculations!$G$11</f>
        <v>IT Hardware</v>
      </c>
      <c r="O81" s="86"/>
      <c r="P81" s="86" t="s">
        <v>67</v>
      </c>
      <c r="Q81" s="86"/>
      <c r="R81" s="86"/>
    </row>
    <row r="82" spans="2:18" ht="27.75" customHeight="1" x14ac:dyDescent="0.25">
      <c r="B82" s="85" t="s">
        <v>64</v>
      </c>
      <c r="C82" s="85"/>
      <c r="D82" s="86" t="str">
        <f>Calculations!$B$24&amp;": "&amp;Calculations!$B$23&amp;" anomalies – the most of any supplier"</f>
        <v>SUP-12: 6 anomalies – the most of any supplier</v>
      </c>
      <c r="E82" s="86"/>
      <c r="F82" s="86"/>
      <c r="G82" s="86"/>
      <c r="H82" s="86"/>
      <c r="I82" s="86"/>
      <c r="J82" s="86"/>
      <c r="K82" s="86"/>
      <c r="L82" s="41">
        <f>Calculations!$B$25/1000000</f>
        <v>29.146079220000004</v>
      </c>
      <c r="N82" s="86" t="str">
        <f>Calculations!$B$24</f>
        <v>SUP-12</v>
      </c>
      <c r="O82" s="86"/>
      <c r="P82" s="86" t="s">
        <v>68</v>
      </c>
      <c r="Q82" s="86"/>
      <c r="R82" s="86"/>
    </row>
    <row r="83" spans="2:18" ht="27.75" customHeight="1" x14ac:dyDescent="0.25">
      <c r="B83" s="85" t="s">
        <v>69</v>
      </c>
      <c r="C83" s="85"/>
      <c r="D83" s="86" t="str">
        <f>"Split orders: "&amp;FIXED(Calculations!$B$32,0)&amp;" possible cases of splitting orders to stay under limits"</f>
        <v>Split orders: 2,177 possible cases of splitting orders to stay under limits</v>
      </c>
      <c r="E83" s="86"/>
      <c r="F83" s="86"/>
      <c r="G83" s="86"/>
      <c r="H83" s="86"/>
      <c r="I83" s="86"/>
      <c r="J83" s="86"/>
      <c r="K83" s="86"/>
      <c r="L83" s="41">
        <f>Calculations!$B$33</f>
        <v>284.89999999999998</v>
      </c>
      <c r="N83" s="86" t="s">
        <v>70</v>
      </c>
      <c r="O83" s="86"/>
      <c r="P83" s="86" t="s">
        <v>71</v>
      </c>
      <c r="Q83" s="86"/>
      <c r="R83" s="86"/>
    </row>
    <row r="84" spans="2:18" ht="27.75" customHeight="1" x14ac:dyDescent="0.25">
      <c r="B84" s="85" t="str">
        <f>IF(Calculations!$B$15&gt;Parameters!$B$10,"WARNING","WATCH")</f>
        <v>WARNING</v>
      </c>
      <c r="C84" s="85"/>
      <c r="D84" s="86" t="str">
        <f>Calculations!$B$16&amp;": "&amp;FIXED(Calculations!$B$15*100,1)&amp;"% of total spend – the concentration limit is "&amp;FIXED(Parameters!$B$10*100,0)&amp;"%"</f>
        <v>IT Hardware: 63.5% of total spend – the concentration limit is 50%</v>
      </c>
      <c r="E84" s="86"/>
      <c r="F84" s="86"/>
      <c r="G84" s="86"/>
      <c r="H84" s="86"/>
      <c r="I84" s="86"/>
      <c r="J84" s="86"/>
      <c r="K84" s="86"/>
      <c r="L84" s="41">
        <f>INDEX(Data_Categories!$D$2:$D$7,MATCH(Calculations!$B$16,Data_Categories!$A$2:$A$7,0))</f>
        <v>3999.58</v>
      </c>
      <c r="N84" s="86" t="str">
        <f>Calculations!$B$16</f>
        <v>IT Hardware</v>
      </c>
      <c r="O84" s="86"/>
      <c r="P84" s="86" t="str">
        <f>"Diversify + KPI max. "&amp;FIXED(Parameters!$B$10*100,0)&amp;"% per category"</f>
        <v>Diversify + KPI max. 50% per category</v>
      </c>
      <c r="Q84" s="86"/>
      <c r="R84" s="86"/>
    </row>
    <row r="85" spans="2:18" ht="27.75" customHeight="1" x14ac:dyDescent="0.25">
      <c r="B85" s="85" t="s">
        <v>69</v>
      </c>
      <c r="C85" s="85"/>
      <c r="D85" s="86" t="str">
        <f>Calculations!$B$28&amp;": "&amp;Calculations!$B$29&amp;" price outliers above "&amp;FIXED(Calculations!$B$31,0)&amp;" PLN/unit (μ+2σ threshold)"</f>
        <v>IT Hardware: 76 price outliers above 7,213 PLN/unit (μ+2σ threshold)</v>
      </c>
      <c r="E85" s="86"/>
      <c r="F85" s="86"/>
      <c r="G85" s="86"/>
      <c r="H85" s="86"/>
      <c r="I85" s="86"/>
      <c r="J85" s="86"/>
      <c r="K85" s="86"/>
      <c r="L85" s="41">
        <f>Calculations!$B$30</f>
        <v>40.47</v>
      </c>
      <c r="N85" s="86" t="str">
        <f>Calculations!$B$28</f>
        <v>IT Hardware</v>
      </c>
      <c r="O85" s="86"/>
      <c r="P85" s="86" t="s">
        <v>72</v>
      </c>
      <c r="Q85" s="86"/>
      <c r="R85" s="86"/>
    </row>
    <row r="86" spans="2:18" ht="27.75" customHeight="1" x14ac:dyDescent="0.25">
      <c r="B86" s="85" t="str">
        <f>IF(Calculations!$B$17&gt;Parameters!$B$2,"WARNING","WATCH")</f>
        <v>WARNING</v>
      </c>
      <c r="C86" s="85"/>
      <c r="D86" s="86" t="str">
        <f>Calculations!$B$18&amp;": y/y growth "&amp;FIXED(Calculations!$B$17*100,1)&amp;"% vs PPI ~"&amp;FIXED(Parameters!$B$2*100,1)&amp;"% (value = excess above inflation)"</f>
        <v>Marketing Services: y/y growth 6.9% vs PPI ~3.5% (value = excess above inflation)</v>
      </c>
      <c r="E86" s="86"/>
      <c r="F86" s="86"/>
      <c r="G86" s="86"/>
      <c r="H86" s="86"/>
      <c r="I86" s="86"/>
      <c r="J86" s="86"/>
      <c r="K86" s="86"/>
      <c r="L86" s="41">
        <f>Calculations!$B$19</f>
        <v>20.102549999999951</v>
      </c>
      <c r="N86" s="86" t="str">
        <f>Calculations!$B$18</f>
        <v>Marketing Services</v>
      </c>
      <c r="O86" s="86"/>
      <c r="P86" s="86" t="s">
        <v>73</v>
      </c>
      <c r="Q86" s="86"/>
      <c r="R86" s="86"/>
    </row>
    <row r="87" spans="2:18" ht="27.75" customHeight="1" x14ac:dyDescent="0.25">
      <c r="B87" s="85" t="s">
        <v>69</v>
      </c>
      <c r="C87" s="85"/>
      <c r="D87" s="86" t="str">
        <f>Calculations!$B$34&amp;" + "&amp;Calculations!$B$35&amp;": "&amp;FIXED(Calculations!$B$36/1000000,1)&amp;" M PLN of anomalous transactions ("&amp;Calculations!$B$37&amp;" + "&amp;Calculations!$B$38&amp;" txn)"</f>
        <v>BUYER-06 + BUYER-02: 86.4 M PLN of anomalous transactions (8 + 8 txn)</v>
      </c>
      <c r="E87" s="86"/>
      <c r="F87" s="86"/>
      <c r="G87" s="86"/>
      <c r="H87" s="86"/>
      <c r="I87" s="86"/>
      <c r="J87" s="86"/>
      <c r="K87" s="86"/>
      <c r="L87" s="41">
        <f>Calculations!$B$36/1000000</f>
        <v>86.377480509999984</v>
      </c>
      <c r="N87" s="86" t="str">
        <f>Calculations!$B$34&amp;", "&amp;Calculations!$B$35</f>
        <v>BUYER-06, BUYER-02</v>
      </c>
      <c r="O87" s="86"/>
      <c r="P87" s="86" t="s">
        <v>74</v>
      </c>
      <c r="Q87" s="86"/>
      <c r="R87" s="86"/>
    </row>
    <row r="88" spans="2:18" ht="27.75" customHeight="1" x14ac:dyDescent="0.25">
      <c r="B88" s="85" t="s">
        <v>75</v>
      </c>
      <c r="C88" s="85"/>
      <c r="D88" s="86" t="str">
        <f>"Pareto: "&amp;Calculations!$B$20&amp;" of "&amp;Calculations!$B$4&amp;" suppliers make up 80% of spend – a spread-out supplier base"</f>
        <v>Pareto: 40 of 50 suppliers make up 80% of spend – a spread-out supplier base</v>
      </c>
      <c r="E88" s="86"/>
      <c r="F88" s="86"/>
      <c r="G88" s="86"/>
      <c r="H88" s="86"/>
      <c r="I88" s="86"/>
      <c r="J88" s="86"/>
      <c r="K88" s="86"/>
      <c r="L88" s="41">
        <f>0</f>
        <v>0</v>
      </c>
      <c r="N88" s="86" t="s">
        <v>76</v>
      </c>
      <c r="O88" s="86"/>
      <c r="P88" s="86" t="str">
        <f>"Strategic consolidation – target: "&amp;Parameters!$B$11&amp;" suppliers"</f>
        <v>Strategic consolidation – target: 30 suppliers</v>
      </c>
      <c r="Q88" s="86"/>
      <c r="R88" s="86"/>
    </row>
    <row r="89" spans="2:18" ht="27.75" customHeight="1" x14ac:dyDescent="0.25">
      <c r="B89" s="85" t="s">
        <v>75</v>
      </c>
      <c r="C89" s="85"/>
      <c r="D89" s="86" t="str">
        <f>"Office Supplies: "&amp;FIXED(INDEX(Data_Categories!$E$2:$E$7,MATCH("Office Supplies",Data_Categories!$A$2:$A$7,0))*100,1)&amp;"% of spend – small, scattered purchases"</f>
        <v>Office Supplies: 0.6% of spend – small, scattered purchases</v>
      </c>
      <c r="E89" s="86"/>
      <c r="F89" s="86"/>
      <c r="G89" s="86"/>
      <c r="H89" s="86"/>
      <c r="I89" s="86"/>
      <c r="J89" s="86"/>
      <c r="K89" s="86"/>
      <c r="L89" s="41">
        <f>INDEX(Data_Categories!$D$2:$D$7,MATCH("Office Supplies",Data_Categories!$A$2:$A$7,0))</f>
        <v>39.89</v>
      </c>
      <c r="N89" s="86" t="s">
        <v>77</v>
      </c>
      <c r="O89" s="86"/>
      <c r="P89" s="86" t="s">
        <v>78</v>
      </c>
      <c r="Q89" s="86"/>
      <c r="R89" s="86"/>
    </row>
    <row r="90" spans="2:18" ht="27.75" customHeight="1" x14ac:dyDescent="0.25">
      <c r="B90" s="85" t="s">
        <v>75</v>
      </c>
      <c r="C90" s="85"/>
      <c r="D90" s="86" t="str">
        <f>"Raw Materials: y/y change "&amp;FIXED(INDEX(Data_Categories!$F$2:$F$7,MATCH("Raw Materials",Data_Categories!$A$2:$A$7,0))*100,1)&amp;"% – below inflation, good price discipline"</f>
        <v>Raw Materials: y/y change -0.2% – below inflation, good price discipline</v>
      </c>
      <c r="E90" s="86"/>
      <c r="F90" s="86"/>
      <c r="G90" s="86"/>
      <c r="H90" s="86"/>
      <c r="I90" s="86"/>
      <c r="J90" s="86"/>
      <c r="K90" s="86"/>
      <c r="L90" s="41">
        <f>INDEX(Data_Categories!$C$2:$C$7,MATCH("Raw Materials",Data_Categories!$A$2:$A$7,0))</f>
        <v>82.35</v>
      </c>
      <c r="N90" s="86" t="s">
        <v>79</v>
      </c>
      <c r="O90" s="86"/>
      <c r="P90" s="86" t="s">
        <v>80</v>
      </c>
      <c r="Q90" s="86"/>
      <c r="R90" s="86"/>
    </row>
    <row r="91" spans="2:18" ht="27.75" customHeight="1" x14ac:dyDescent="0.25">
      <c r="B91" s="85" t="s">
        <v>75</v>
      </c>
      <c r="C91" s="85"/>
      <c r="D91" s="86" t="str">
        <f>"Logistics: y/y change "&amp;FIXED(INDEX(Data_Categories!$F$2:$F$7,MATCH("Logistics",Data_Categories!$A$2:$A$7,0))*100,1)&amp;"% – close to the PPI benchmark ~"&amp;FIXED(Parameters!$B$2*100,1)&amp;"%"</f>
        <v>Logistics: y/y change 3.6% – close to the PPI benchmark ~3.5%</v>
      </c>
      <c r="E91" s="86"/>
      <c r="F91" s="86"/>
      <c r="G91" s="86"/>
      <c r="H91" s="86"/>
      <c r="I91" s="86"/>
      <c r="J91" s="86"/>
      <c r="K91" s="86"/>
      <c r="L91" s="41">
        <f>INDEX(Data_Categories!$C$2:$C$7,MATCH("Logistics",Data_Categories!$A$2:$A$7,0))</f>
        <v>122.34</v>
      </c>
      <c r="N91" s="86" t="s">
        <v>81</v>
      </c>
      <c r="O91" s="86"/>
      <c r="P91" s="86" t="s">
        <v>82</v>
      </c>
      <c r="Q91" s="86"/>
      <c r="R91" s="86"/>
    </row>
    <row r="93" spans="2:18" ht="33.75" customHeight="1" x14ac:dyDescent="0.25">
      <c r="B93" s="87" t="s">
        <v>83</v>
      </c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</row>
    <row r="94" spans="2:18" x14ac:dyDescent="0.25">
      <c r="B94" s="88" t="str">
        <f>"Data consistency check (categories = months = suppliers): "&amp;Calculations!$B$42</f>
        <v>Data consistency check (categories = months = suppliers): OK</v>
      </c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</row>
  </sheetData>
  <mergeCells count="108">
    <mergeCell ref="B94:R94"/>
    <mergeCell ref="B90:C90"/>
    <mergeCell ref="D90:K90"/>
    <mergeCell ref="N90:O90"/>
    <mergeCell ref="P90:R90"/>
    <mergeCell ref="B91:C91"/>
    <mergeCell ref="D91:K91"/>
    <mergeCell ref="N91:O91"/>
    <mergeCell ref="P91:R91"/>
    <mergeCell ref="B93:R93"/>
    <mergeCell ref="B87:C87"/>
    <mergeCell ref="D87:K87"/>
    <mergeCell ref="N87:O87"/>
    <mergeCell ref="P87:R87"/>
    <mergeCell ref="B88:C88"/>
    <mergeCell ref="D88:K88"/>
    <mergeCell ref="N88:O88"/>
    <mergeCell ref="P88:R88"/>
    <mergeCell ref="B89:C89"/>
    <mergeCell ref="D89:K89"/>
    <mergeCell ref="N89:O89"/>
    <mergeCell ref="P89:R89"/>
    <mergeCell ref="B84:C84"/>
    <mergeCell ref="D84:K84"/>
    <mergeCell ref="N84:O84"/>
    <mergeCell ref="P84:R84"/>
    <mergeCell ref="B85:C85"/>
    <mergeCell ref="D85:K85"/>
    <mergeCell ref="N85:O85"/>
    <mergeCell ref="P85:R85"/>
    <mergeCell ref="B86:C86"/>
    <mergeCell ref="D86:K86"/>
    <mergeCell ref="N86:O86"/>
    <mergeCell ref="P86:R86"/>
    <mergeCell ref="B81:C81"/>
    <mergeCell ref="D81:K81"/>
    <mergeCell ref="N81:O81"/>
    <mergeCell ref="P81:R81"/>
    <mergeCell ref="B82:C82"/>
    <mergeCell ref="D82:K82"/>
    <mergeCell ref="N82:O82"/>
    <mergeCell ref="P82:R82"/>
    <mergeCell ref="B83:C83"/>
    <mergeCell ref="D83:K83"/>
    <mergeCell ref="N83:O83"/>
    <mergeCell ref="P83:R83"/>
    <mergeCell ref="B78:C78"/>
    <mergeCell ref="D78:K78"/>
    <mergeCell ref="N78:O78"/>
    <mergeCell ref="P78:R78"/>
    <mergeCell ref="B79:C79"/>
    <mergeCell ref="D79:K79"/>
    <mergeCell ref="N79:O79"/>
    <mergeCell ref="P79:R79"/>
    <mergeCell ref="B80:C80"/>
    <mergeCell ref="D80:K80"/>
    <mergeCell ref="N80:O80"/>
    <mergeCell ref="P80:R80"/>
    <mergeCell ref="N33:R33"/>
    <mergeCell ref="H39:L39"/>
    <mergeCell ref="B41:F41"/>
    <mergeCell ref="N44:R44"/>
    <mergeCell ref="B57:F57"/>
    <mergeCell ref="H57:L57"/>
    <mergeCell ref="N57:R57"/>
    <mergeCell ref="B76:R76"/>
    <mergeCell ref="B77:R77"/>
    <mergeCell ref="B14:F14"/>
    <mergeCell ref="H14:L14"/>
    <mergeCell ref="N14:R14"/>
    <mergeCell ref="B15:F15"/>
    <mergeCell ref="H15:L15"/>
    <mergeCell ref="N15:R15"/>
    <mergeCell ref="H21:L21"/>
    <mergeCell ref="B25:F25"/>
    <mergeCell ref="H31:L31"/>
    <mergeCell ref="B11:D11"/>
    <mergeCell ref="E11:G11"/>
    <mergeCell ref="H11:J11"/>
    <mergeCell ref="K11:M11"/>
    <mergeCell ref="N11:R11"/>
    <mergeCell ref="B12:D12"/>
    <mergeCell ref="E12:G12"/>
    <mergeCell ref="H12:J12"/>
    <mergeCell ref="K12:M12"/>
    <mergeCell ref="N12:R12"/>
    <mergeCell ref="B8:D8"/>
    <mergeCell ref="E8:G8"/>
    <mergeCell ref="H8:J8"/>
    <mergeCell ref="K8:M8"/>
    <mergeCell ref="N8:R8"/>
    <mergeCell ref="B10:D10"/>
    <mergeCell ref="E10:G10"/>
    <mergeCell ref="H10:J10"/>
    <mergeCell ref="K10:M10"/>
    <mergeCell ref="N10:R10"/>
    <mergeCell ref="B2:R3"/>
    <mergeCell ref="B4:R4"/>
    <mergeCell ref="B6:D6"/>
    <mergeCell ref="E6:G6"/>
    <mergeCell ref="H6:J6"/>
    <mergeCell ref="K6:M6"/>
    <mergeCell ref="N6:R6"/>
    <mergeCell ref="B7:D7"/>
    <mergeCell ref="E7:G7"/>
    <mergeCell ref="H7:J7"/>
    <mergeCell ref="K7:M7"/>
    <mergeCell ref="N7:R7"/>
  </mergeCells>
  <conditionalFormatting sqref="B79:C91">
    <cfRule type="expression" dxfId="18" priority="21">
      <formula>B79="CRITICAL"</formula>
    </cfRule>
    <cfRule type="expression" dxfId="17" priority="22">
      <formula>B79="WARNING"</formula>
    </cfRule>
    <cfRule type="expression" dxfId="16" priority="23">
      <formula>B79="WATCH"</formula>
    </cfRule>
  </conditionalFormatting>
  <conditionalFormatting sqref="D17:D22">
    <cfRule type="dataBar" priority="2">
      <dataBar>
        <cfvo type="num" val="0"/>
        <cfvo type="num" val="1"/>
        <color rgb="FF8EA9DB"/>
      </dataBar>
      <extLst>
        <ext xmlns:x14="http://schemas.microsoft.com/office/spreadsheetml/2009/9/main" uri="{B025F937-C7B1-47D3-B67F-A62EFF666E3E}">
          <x14:id>{56435B4E-B718-403F-8BBA-96113C00461C}</x14:id>
        </ext>
      </extLst>
    </cfRule>
  </conditionalFormatting>
  <conditionalFormatting sqref="E17:E22">
    <cfRule type="expression" dxfId="14" priority="5">
      <formula>E17&lt;0</formula>
    </cfRule>
  </conditionalFormatting>
  <conditionalFormatting sqref="F27:F38">
    <cfRule type="colorScale" priority="6">
      <colorScale>
        <cfvo type="min"/>
        <cfvo type="num" val="0"/>
        <cfvo type="max"/>
        <color rgb="FF63BE7B"/>
        <color rgb="FFFFFFFF"/>
        <color rgb="FFF8696B"/>
      </colorScale>
    </cfRule>
  </conditionalFormatting>
  <conditionalFormatting sqref="L23:L28">
    <cfRule type="expression" dxfId="12" priority="7">
      <formula>ISNUMBER(SEARCH("HIGH",L23))</formula>
    </cfRule>
    <cfRule type="expression" dxfId="11" priority="8">
      <formula>OR(ISNUMBER(SEARCH("MEDIUM",L23)),ISNUMBER(SEARCH("ELEVATED",L23)))</formula>
    </cfRule>
    <cfRule type="expression" dxfId="10" priority="9">
      <formula>ISNUMBER(SEARCH("LOW",L23))</formula>
    </cfRule>
  </conditionalFormatting>
  <conditionalFormatting sqref="L41:L50">
    <cfRule type="expression" dxfId="9" priority="10">
      <formula>ISNUMBER(SEARCH("HIGH",L41))</formula>
    </cfRule>
    <cfRule type="expression" dxfId="8" priority="11">
      <formula>OR(ISNUMBER(SEARCH("MEDIUM",L41)),ISNUMBER(SEARCH("ELEVATED",L41)))</formula>
    </cfRule>
    <cfRule type="expression" dxfId="7" priority="12">
      <formula>ISNUMBER(SEARCH("LOW",L41))</formula>
    </cfRule>
  </conditionalFormatting>
  <conditionalFormatting sqref="O17:O31">
    <cfRule type="dataBar" priority="3">
      <dataBar>
        <cfvo type="min"/>
        <cfvo type="max"/>
        <color rgb="FF7FC8C2"/>
      </dataBar>
      <extLst>
        <ext xmlns:x14="http://schemas.microsoft.com/office/spreadsheetml/2009/9/main" uri="{B025F937-C7B1-47D3-B67F-A62EFF666E3E}">
          <x14:id>{A77E2649-46E7-4AA7-B6FC-8C3FDCE0F269}</x14:id>
        </ext>
      </extLst>
    </cfRule>
  </conditionalFormatting>
  <conditionalFormatting sqref="R35:R42">
    <cfRule type="expression" dxfId="2" priority="13">
      <formula>ISNUMBER(SEARCH("HIGH",R35))</formula>
    </cfRule>
    <cfRule type="expression" dxfId="1" priority="14">
      <formula>OR(ISNUMBER(SEARCH("MEDIUM",R35)),ISNUMBER(SEARCH("ELEVATED",R35)))</formula>
    </cfRule>
    <cfRule type="expression" dxfId="0" priority="15">
      <formula>ISNUMBER(SEARCH("LOW",R35))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435B4E-B718-403F-8BBA-96113C00461C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8EA9DB"/>
            </x14:dataBar>
          </x14:cfRule>
          <xm:sqref>D17:D22</xm:sqref>
        </x14:conditionalFormatting>
        <x14:conditionalFormatting xmlns:xm="http://schemas.microsoft.com/office/excel/2006/main">
          <x14:cfRule type="expression" priority="4" id="{00000000-000E-0000-0000-000004000000}">
            <xm:f>E17&gt;Parameters!$B$2</xm:f>
            <x14:dxf>
              <font>
                <b/>
                <color rgb="FFC00000"/>
              </font>
            </x14:dxf>
          </x14:cfRule>
          <xm:sqref>E17:E22</xm:sqref>
        </x14:conditionalFormatting>
        <x14:conditionalFormatting xmlns:xm="http://schemas.microsoft.com/office/excel/2006/main">
          <x14:cfRule type="expression" priority="20" id="{00000000-000E-0000-0000-000014000000}">
            <xm:f>I41&gt;=Parameters!$B$5</xm:f>
            <x14:dxf>
              <font>
                <b/>
                <color rgb="FFC00000"/>
              </font>
            </x14:dxf>
          </x14:cfRule>
          <xm:sqref>I41:I50</xm:sqref>
        </x14:conditionalFormatting>
        <x14:conditionalFormatting xmlns:xm="http://schemas.microsoft.com/office/excel/2006/main">
          <x14:cfRule type="dataBar" id="{A77E2649-46E7-4AA7-B6FC-8C3FDCE0F269}">
            <x14:dataBar axisPosition="none">
              <x14:cfvo type="min"/>
              <x14:cfvo type="max"/>
              <x14:negativeFillColor rgb="FF7FC8C2"/>
            </x14:dataBar>
          </x14:cfRule>
          <xm:sqref>O17:O31</xm:sqref>
        </x14:conditionalFormatting>
        <x14:conditionalFormatting xmlns:xm="http://schemas.microsoft.com/office/excel/2006/main">
          <x14:cfRule type="expression" priority="19" id="{00000000-000E-0000-0000-000013000000}">
            <xm:f>O35&gt;=Parameters!$B$3</xm:f>
            <x14:dxf>
              <font>
                <b/>
                <color rgb="FFC00000"/>
              </font>
            </x14:dxf>
          </x14:cfRule>
          <xm:sqref>O35:O42</xm:sqref>
        </x14:conditionalFormatting>
        <x14:conditionalFormatting xmlns:xm="http://schemas.microsoft.com/office/excel/2006/main">
          <x14:cfRule type="expression" priority="16" id="{00000000-000E-0000-0000-000010000000}">
            <xm:f>R17&gt;=Parameters!$B$3</xm:f>
            <x14:dxf>
              <fill>
                <patternFill>
                  <bgColor rgb="FFF8CBAD"/>
                </patternFill>
              </fill>
            </x14:dxf>
          </x14:cfRule>
          <x14:cfRule type="expression" priority="17" id="{00000000-000E-0000-0000-000011000000}">
            <xm:f>AND(R17&gt;=Parameters!$B$4,R17&lt;Parameters!$B$3)</xm:f>
            <x14:dxf>
              <fill>
                <patternFill>
                  <bgColor rgb="FFFFE699"/>
                </patternFill>
              </fill>
            </x14:dxf>
          </x14:cfRule>
          <x14:cfRule type="expression" priority="18" id="{00000000-000E-0000-0000-000012000000}">
            <xm:f>R17&lt;Parameters!$B$4</xm:f>
            <x14:dxf>
              <fill>
                <patternFill>
                  <bgColor rgb="FFC6EFCE"/>
                </patternFill>
              </fill>
            </x14:dxf>
          </x14:cfRule>
          <xm:sqref>R17:R31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B16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110" customWidth="1"/>
  </cols>
  <sheetData>
    <row r="1" spans="1:2" ht="18" x14ac:dyDescent="0.25">
      <c r="A1" s="42" t="s">
        <v>84</v>
      </c>
    </row>
    <row r="2" spans="1:2" ht="30" customHeight="1" x14ac:dyDescent="0.25">
      <c r="A2" s="43" t="s">
        <v>85</v>
      </c>
      <c r="B2" s="44" t="s">
        <v>86</v>
      </c>
    </row>
    <row r="3" spans="1:2" ht="30" customHeight="1" x14ac:dyDescent="0.25">
      <c r="A3" s="43" t="s">
        <v>87</v>
      </c>
      <c r="B3" s="44" t="s">
        <v>88</v>
      </c>
    </row>
    <row r="4" spans="1:2" ht="30" customHeight="1" x14ac:dyDescent="0.25">
      <c r="A4" s="43" t="s">
        <v>89</v>
      </c>
      <c r="B4" s="44" t="s">
        <v>90</v>
      </c>
    </row>
    <row r="5" spans="1:2" ht="30" customHeight="1" x14ac:dyDescent="0.25">
      <c r="A5" s="43" t="s">
        <v>91</v>
      </c>
      <c r="B5" s="44" t="s">
        <v>92</v>
      </c>
    </row>
    <row r="6" spans="1:2" ht="30" customHeight="1" x14ac:dyDescent="0.25">
      <c r="A6" s="43" t="s">
        <v>93</v>
      </c>
      <c r="B6" s="44" t="s">
        <v>94</v>
      </c>
    </row>
    <row r="7" spans="1:2" ht="30" customHeight="1" x14ac:dyDescent="0.25">
      <c r="A7" s="43" t="s">
        <v>95</v>
      </c>
      <c r="B7" s="44" t="s">
        <v>96</v>
      </c>
    </row>
    <row r="8" spans="1:2" ht="30" customHeight="1" x14ac:dyDescent="0.25">
      <c r="A8" s="43" t="s">
        <v>97</v>
      </c>
      <c r="B8" s="44" t="s">
        <v>98</v>
      </c>
    </row>
    <row r="9" spans="1:2" ht="30" customHeight="1" x14ac:dyDescent="0.25">
      <c r="A9" s="43" t="s">
        <v>99</v>
      </c>
      <c r="B9" s="44" t="s">
        <v>100</v>
      </c>
    </row>
    <row r="10" spans="1:2" ht="30" customHeight="1" x14ac:dyDescent="0.25">
      <c r="A10" s="43" t="s">
        <v>101</v>
      </c>
      <c r="B10" s="44" t="s">
        <v>102</v>
      </c>
    </row>
    <row r="11" spans="1:2" ht="30" customHeight="1" x14ac:dyDescent="0.25">
      <c r="A11" s="43" t="s">
        <v>103</v>
      </c>
      <c r="B11" s="44" t="s">
        <v>104</v>
      </c>
    </row>
    <row r="12" spans="1:2" ht="30" customHeight="1" x14ac:dyDescent="0.25">
      <c r="A12" s="43" t="s">
        <v>105</v>
      </c>
      <c r="B12" s="44" t="s">
        <v>106</v>
      </c>
    </row>
    <row r="13" spans="1:2" ht="30" customHeight="1" x14ac:dyDescent="0.25">
      <c r="A13" s="43" t="s">
        <v>107</v>
      </c>
      <c r="B13" s="44" t="s">
        <v>108</v>
      </c>
    </row>
    <row r="14" spans="1:2" ht="30" customHeight="1" x14ac:dyDescent="0.25">
      <c r="A14" s="43" t="s">
        <v>109</v>
      </c>
      <c r="B14" s="44" t="s">
        <v>110</v>
      </c>
    </row>
    <row r="15" spans="1:2" ht="30" customHeight="1" x14ac:dyDescent="0.25">
      <c r="A15" s="43" t="s">
        <v>111</v>
      </c>
      <c r="B15" s="44" t="s">
        <v>112</v>
      </c>
    </row>
    <row r="16" spans="1:2" ht="30" customHeight="1" x14ac:dyDescent="0.25">
      <c r="A16" s="43" t="s">
        <v>113</v>
      </c>
      <c r="B16" s="44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13"/>
  <sheetViews>
    <sheetView zoomScaleNormal="100" workbookViewId="0"/>
  </sheetViews>
  <sheetFormatPr defaultColWidth="8.7109375" defaultRowHeight="15" x14ac:dyDescent="0.25"/>
  <cols>
    <col min="1" max="1" width="44" customWidth="1"/>
    <col min="2" max="2" width="12" customWidth="1"/>
    <col min="3" max="3" width="75" customWidth="1"/>
  </cols>
  <sheetData>
    <row r="1" spans="1:3" x14ac:dyDescent="0.25">
      <c r="A1" s="45" t="s">
        <v>115</v>
      </c>
      <c r="B1" s="45" t="s">
        <v>116</v>
      </c>
      <c r="C1" s="45" t="s">
        <v>117</v>
      </c>
    </row>
    <row r="2" spans="1:3" x14ac:dyDescent="0.25">
      <c r="A2" s="46" t="s">
        <v>118</v>
      </c>
      <c r="B2" s="47">
        <v>3.5000000000000003E-2</v>
      </c>
      <c r="C2" s="48" t="s">
        <v>119</v>
      </c>
    </row>
    <row r="3" spans="1:3" x14ac:dyDescent="0.25">
      <c r="A3" s="46" t="s">
        <v>120</v>
      </c>
      <c r="B3" s="49">
        <v>4</v>
      </c>
      <c r="C3" s="48" t="s">
        <v>121</v>
      </c>
    </row>
    <row r="4" spans="1:3" x14ac:dyDescent="0.25">
      <c r="A4" s="46" t="s">
        <v>122</v>
      </c>
      <c r="B4" s="49">
        <v>2</v>
      </c>
      <c r="C4" s="48" t="s">
        <v>123</v>
      </c>
    </row>
    <row r="5" spans="1:3" x14ac:dyDescent="0.25">
      <c r="A5" s="46" t="s">
        <v>124</v>
      </c>
      <c r="B5" s="49">
        <v>8</v>
      </c>
      <c r="C5" s="48" t="s">
        <v>125</v>
      </c>
    </row>
    <row r="6" spans="1:3" x14ac:dyDescent="0.25">
      <c r="A6" s="46" t="s">
        <v>126</v>
      </c>
      <c r="B6" s="49">
        <v>5</v>
      </c>
      <c r="C6" s="48" t="s">
        <v>127</v>
      </c>
    </row>
    <row r="7" spans="1:3" x14ac:dyDescent="0.25">
      <c r="A7" s="46" t="s">
        <v>128</v>
      </c>
      <c r="B7" s="49">
        <v>20</v>
      </c>
      <c r="C7" s="48" t="s">
        <v>129</v>
      </c>
    </row>
    <row r="8" spans="1:3" x14ac:dyDescent="0.25">
      <c r="A8" s="46" t="s">
        <v>130</v>
      </c>
      <c r="B8" s="49">
        <v>5</v>
      </c>
      <c r="C8" s="48" t="s">
        <v>131</v>
      </c>
    </row>
    <row r="9" spans="1:3" x14ac:dyDescent="0.25">
      <c r="A9" s="46" t="s">
        <v>132</v>
      </c>
      <c r="B9" s="47">
        <v>0.8</v>
      </c>
      <c r="C9" s="48" t="s">
        <v>133</v>
      </c>
    </row>
    <row r="10" spans="1:3" x14ac:dyDescent="0.25">
      <c r="A10" s="46" t="s">
        <v>134</v>
      </c>
      <c r="B10" s="47">
        <v>0.5</v>
      </c>
      <c r="C10" s="48" t="s">
        <v>135</v>
      </c>
    </row>
    <row r="11" spans="1:3" x14ac:dyDescent="0.25">
      <c r="A11" s="46" t="s">
        <v>136</v>
      </c>
      <c r="B11" s="49">
        <v>30</v>
      </c>
      <c r="C11" s="48" t="s">
        <v>137</v>
      </c>
    </row>
    <row r="13" spans="1:3" x14ac:dyDescent="0.25">
      <c r="A13" s="50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5" customWidth="1"/>
    <col min="2" max="2" width="11" customWidth="1"/>
    <col min="3" max="3" width="21" customWidth="1"/>
    <col min="4" max="4" width="11" customWidth="1"/>
    <col min="5" max="5" width="9" customWidth="1"/>
    <col min="6" max="6" width="14" customWidth="1"/>
    <col min="7" max="7" width="12" customWidth="1"/>
    <col min="8" max="8" width="19" customWidth="1"/>
    <col min="9" max="9" width="15" customWidth="1"/>
  </cols>
  <sheetData>
    <row r="1" spans="1:9" x14ac:dyDescent="0.25">
      <c r="A1" s="51" t="s">
        <v>139</v>
      </c>
      <c r="B1" s="51" t="s">
        <v>42</v>
      </c>
      <c r="C1" s="51" t="s">
        <v>17</v>
      </c>
      <c r="D1" s="51" t="s">
        <v>26</v>
      </c>
      <c r="E1" s="51" t="s">
        <v>140</v>
      </c>
      <c r="F1" s="51" t="s">
        <v>141</v>
      </c>
      <c r="G1" s="51" t="s">
        <v>48</v>
      </c>
      <c r="H1" s="51" t="s">
        <v>142</v>
      </c>
      <c r="I1" s="51" t="s">
        <v>143</v>
      </c>
    </row>
    <row r="2" spans="1:9" x14ac:dyDescent="0.25">
      <c r="A2" s="52" t="s">
        <v>144</v>
      </c>
      <c r="B2" s="53">
        <v>45535</v>
      </c>
      <c r="C2" s="52" t="s">
        <v>145</v>
      </c>
      <c r="D2" s="52" t="s">
        <v>146</v>
      </c>
      <c r="E2" s="54">
        <v>8500</v>
      </c>
      <c r="F2" s="55">
        <v>4495.6899999999996</v>
      </c>
      <c r="G2" s="52" t="s">
        <v>147</v>
      </c>
      <c r="H2" s="52" t="s">
        <v>29</v>
      </c>
      <c r="I2" s="54">
        <f t="shared" ref="I2:I33" si="0">E2*F2</f>
        <v>38213365</v>
      </c>
    </row>
    <row r="3" spans="1:9" x14ac:dyDescent="0.25">
      <c r="A3" s="52" t="s">
        <v>148</v>
      </c>
      <c r="B3" s="53">
        <v>45509</v>
      </c>
      <c r="C3" s="52" t="s">
        <v>145</v>
      </c>
      <c r="D3" s="52" t="s">
        <v>149</v>
      </c>
      <c r="E3" s="54">
        <v>5500</v>
      </c>
      <c r="F3" s="55">
        <v>4025.1</v>
      </c>
      <c r="G3" s="52" t="s">
        <v>150</v>
      </c>
      <c r="H3" s="52" t="s">
        <v>29</v>
      </c>
      <c r="I3" s="54">
        <f t="shared" si="0"/>
        <v>22138050</v>
      </c>
    </row>
    <row r="4" spans="1:9" x14ac:dyDescent="0.25">
      <c r="A4" s="52" t="s">
        <v>151</v>
      </c>
      <c r="B4" s="53">
        <v>45738</v>
      </c>
      <c r="C4" s="52" t="s">
        <v>145</v>
      </c>
      <c r="D4" s="52" t="s">
        <v>152</v>
      </c>
      <c r="E4" s="54">
        <v>4600</v>
      </c>
      <c r="F4" s="55">
        <v>3767.33</v>
      </c>
      <c r="G4" s="52" t="s">
        <v>153</v>
      </c>
      <c r="H4" s="52" t="s">
        <v>29</v>
      </c>
      <c r="I4" s="54">
        <f t="shared" si="0"/>
        <v>17329718</v>
      </c>
    </row>
    <row r="5" spans="1:9" x14ac:dyDescent="0.25">
      <c r="A5" s="52" t="s">
        <v>154</v>
      </c>
      <c r="B5" s="53">
        <v>45993</v>
      </c>
      <c r="C5" s="52" t="s">
        <v>145</v>
      </c>
      <c r="D5" s="52" t="s">
        <v>155</v>
      </c>
      <c r="E5" s="54">
        <v>2700</v>
      </c>
      <c r="F5" s="55">
        <v>5104.7</v>
      </c>
      <c r="G5" s="52" t="s">
        <v>153</v>
      </c>
      <c r="H5" s="52" t="s">
        <v>29</v>
      </c>
      <c r="I5" s="54">
        <f t="shared" si="0"/>
        <v>13782690</v>
      </c>
    </row>
    <row r="6" spans="1:9" x14ac:dyDescent="0.25">
      <c r="A6" s="52" t="s">
        <v>156</v>
      </c>
      <c r="B6" s="53">
        <v>45874</v>
      </c>
      <c r="C6" s="52" t="s">
        <v>157</v>
      </c>
      <c r="D6" s="52" t="s">
        <v>155</v>
      </c>
      <c r="E6" s="54">
        <v>9400</v>
      </c>
      <c r="F6" s="55">
        <v>1114.1500000000001</v>
      </c>
      <c r="G6" s="52" t="s">
        <v>158</v>
      </c>
      <c r="H6" s="52" t="s">
        <v>29</v>
      </c>
      <c r="I6" s="54">
        <f t="shared" si="0"/>
        <v>10473010</v>
      </c>
    </row>
    <row r="7" spans="1:9" x14ac:dyDescent="0.25">
      <c r="A7" s="52" t="s">
        <v>159</v>
      </c>
      <c r="B7" s="53">
        <v>45784</v>
      </c>
      <c r="C7" s="52" t="s">
        <v>157</v>
      </c>
      <c r="D7" s="52" t="s">
        <v>160</v>
      </c>
      <c r="E7" s="54">
        <v>8700</v>
      </c>
      <c r="F7" s="55">
        <v>1151.06</v>
      </c>
      <c r="G7" s="52" t="s">
        <v>161</v>
      </c>
      <c r="H7" s="52" t="s">
        <v>29</v>
      </c>
      <c r="I7" s="54">
        <f t="shared" si="0"/>
        <v>10014222</v>
      </c>
    </row>
    <row r="8" spans="1:9" x14ac:dyDescent="0.25">
      <c r="A8" s="52" t="s">
        <v>162</v>
      </c>
      <c r="B8" s="53">
        <v>45738</v>
      </c>
      <c r="C8" s="52" t="s">
        <v>157</v>
      </c>
      <c r="D8" s="52" t="s">
        <v>163</v>
      </c>
      <c r="E8" s="54">
        <v>5900</v>
      </c>
      <c r="F8" s="55">
        <v>1358.05</v>
      </c>
      <c r="G8" s="52" t="s">
        <v>150</v>
      </c>
      <c r="H8" s="52" t="s">
        <v>29</v>
      </c>
      <c r="I8" s="54">
        <f t="shared" si="0"/>
        <v>8012495</v>
      </c>
    </row>
    <row r="9" spans="1:9" x14ac:dyDescent="0.25">
      <c r="A9" s="52" t="s">
        <v>164</v>
      </c>
      <c r="B9" s="53">
        <v>45863</v>
      </c>
      <c r="C9" s="52" t="s">
        <v>157</v>
      </c>
      <c r="D9" s="52" t="s">
        <v>165</v>
      </c>
      <c r="E9" s="54">
        <v>5900</v>
      </c>
      <c r="F9" s="55">
        <v>1126.04</v>
      </c>
      <c r="G9" s="52" t="s">
        <v>166</v>
      </c>
      <c r="H9" s="52" t="s">
        <v>29</v>
      </c>
      <c r="I9" s="54">
        <f t="shared" si="0"/>
        <v>6643636</v>
      </c>
    </row>
    <row r="10" spans="1:9" x14ac:dyDescent="0.25">
      <c r="A10" s="52" t="s">
        <v>167</v>
      </c>
      <c r="B10" s="53">
        <v>45843</v>
      </c>
      <c r="C10" s="52" t="s">
        <v>168</v>
      </c>
      <c r="D10" s="52" t="s">
        <v>169</v>
      </c>
      <c r="E10" s="54">
        <v>9800</v>
      </c>
      <c r="F10" s="55">
        <v>639.41</v>
      </c>
      <c r="G10" s="52" t="s">
        <v>166</v>
      </c>
      <c r="H10" s="52" t="s">
        <v>29</v>
      </c>
      <c r="I10" s="54">
        <f t="shared" si="0"/>
        <v>6266218</v>
      </c>
    </row>
    <row r="11" spans="1:9" x14ac:dyDescent="0.25">
      <c r="A11" s="52" t="s">
        <v>170</v>
      </c>
      <c r="B11" s="53">
        <v>45508</v>
      </c>
      <c r="C11" s="52" t="s">
        <v>145</v>
      </c>
      <c r="D11" s="52" t="s">
        <v>171</v>
      </c>
      <c r="E11" s="54">
        <v>74</v>
      </c>
      <c r="F11" s="55">
        <v>75303.33</v>
      </c>
      <c r="G11" s="52" t="s">
        <v>161</v>
      </c>
      <c r="H11" s="52" t="s">
        <v>28</v>
      </c>
      <c r="I11" s="54">
        <f t="shared" si="0"/>
        <v>5572446.4199999999</v>
      </c>
    </row>
    <row r="12" spans="1:9" x14ac:dyDescent="0.25">
      <c r="A12" s="52" t="s">
        <v>172</v>
      </c>
      <c r="B12" s="53">
        <v>45653</v>
      </c>
      <c r="C12" s="52" t="s">
        <v>157</v>
      </c>
      <c r="D12" s="52" t="s">
        <v>173</v>
      </c>
      <c r="E12" s="54">
        <v>3100</v>
      </c>
      <c r="F12" s="55">
        <v>1538.91</v>
      </c>
      <c r="G12" s="52" t="s">
        <v>153</v>
      </c>
      <c r="H12" s="52" t="s">
        <v>29</v>
      </c>
      <c r="I12" s="54">
        <f t="shared" si="0"/>
        <v>4770621</v>
      </c>
    </row>
    <row r="13" spans="1:9" x14ac:dyDescent="0.25">
      <c r="A13" s="52" t="s">
        <v>174</v>
      </c>
      <c r="B13" s="53">
        <v>45674</v>
      </c>
      <c r="C13" s="52" t="s">
        <v>157</v>
      </c>
      <c r="D13" s="52" t="s">
        <v>175</v>
      </c>
      <c r="E13" s="54">
        <v>3300</v>
      </c>
      <c r="F13" s="55">
        <v>1348.4</v>
      </c>
      <c r="G13" s="52" t="s">
        <v>147</v>
      </c>
      <c r="H13" s="52" t="s">
        <v>29</v>
      </c>
      <c r="I13" s="54">
        <f t="shared" si="0"/>
        <v>4449720</v>
      </c>
    </row>
    <row r="14" spans="1:9" x14ac:dyDescent="0.25">
      <c r="A14" s="52" t="s">
        <v>176</v>
      </c>
      <c r="B14" s="53">
        <v>45650</v>
      </c>
      <c r="C14" s="52" t="s">
        <v>145</v>
      </c>
      <c r="D14" s="52" t="s">
        <v>155</v>
      </c>
      <c r="E14" s="54">
        <v>1100</v>
      </c>
      <c r="F14" s="55">
        <v>4043.66</v>
      </c>
      <c r="G14" s="52" t="s">
        <v>177</v>
      </c>
      <c r="H14" s="52" t="s">
        <v>29</v>
      </c>
      <c r="I14" s="54">
        <f t="shared" si="0"/>
        <v>4448026</v>
      </c>
    </row>
    <row r="15" spans="1:9" x14ac:dyDescent="0.25">
      <c r="A15" s="52" t="s">
        <v>178</v>
      </c>
      <c r="B15" s="53">
        <v>45561</v>
      </c>
      <c r="C15" s="52" t="s">
        <v>168</v>
      </c>
      <c r="D15" s="52" t="s">
        <v>149</v>
      </c>
      <c r="E15" s="54">
        <v>5500</v>
      </c>
      <c r="F15" s="55">
        <v>715.8</v>
      </c>
      <c r="G15" s="52" t="s">
        <v>179</v>
      </c>
      <c r="H15" s="52" t="s">
        <v>29</v>
      </c>
      <c r="I15" s="54">
        <f t="shared" si="0"/>
        <v>3936899.9999999995</v>
      </c>
    </row>
    <row r="16" spans="1:9" x14ac:dyDescent="0.25">
      <c r="A16" s="52" t="s">
        <v>180</v>
      </c>
      <c r="B16" s="53">
        <v>45688</v>
      </c>
      <c r="C16" s="52" t="s">
        <v>81</v>
      </c>
      <c r="D16" s="52" t="s">
        <v>181</v>
      </c>
      <c r="E16" s="54">
        <v>9900</v>
      </c>
      <c r="F16" s="55">
        <v>307.52</v>
      </c>
      <c r="G16" s="52" t="s">
        <v>150</v>
      </c>
      <c r="H16" s="52" t="s">
        <v>29</v>
      </c>
      <c r="I16" s="54">
        <f t="shared" si="0"/>
        <v>3044448</v>
      </c>
    </row>
    <row r="17" spans="1:9" x14ac:dyDescent="0.25">
      <c r="A17" s="52" t="s">
        <v>182</v>
      </c>
      <c r="B17" s="53">
        <v>45483</v>
      </c>
      <c r="C17" s="52" t="s">
        <v>145</v>
      </c>
      <c r="D17" s="52" t="s">
        <v>183</v>
      </c>
      <c r="E17" s="54">
        <v>44</v>
      </c>
      <c r="F17" s="55">
        <v>63495.77</v>
      </c>
      <c r="G17" s="52" t="s">
        <v>184</v>
      </c>
      <c r="H17" s="52" t="s">
        <v>28</v>
      </c>
      <c r="I17" s="54">
        <f t="shared" si="0"/>
        <v>2793813.88</v>
      </c>
    </row>
    <row r="18" spans="1:9" x14ac:dyDescent="0.25">
      <c r="A18" s="52" t="s">
        <v>185</v>
      </c>
      <c r="B18" s="53">
        <v>46011</v>
      </c>
      <c r="C18" s="52" t="s">
        <v>81</v>
      </c>
      <c r="D18" s="52" t="s">
        <v>186</v>
      </c>
      <c r="E18" s="54">
        <v>7700</v>
      </c>
      <c r="F18" s="55">
        <v>279.64</v>
      </c>
      <c r="G18" s="52" t="s">
        <v>161</v>
      </c>
      <c r="H18" s="52" t="s">
        <v>29</v>
      </c>
      <c r="I18" s="54">
        <f t="shared" si="0"/>
        <v>2153228</v>
      </c>
    </row>
    <row r="19" spans="1:9" x14ac:dyDescent="0.25">
      <c r="A19" s="52" t="s">
        <v>187</v>
      </c>
      <c r="B19" s="53">
        <v>45687</v>
      </c>
      <c r="C19" s="52" t="s">
        <v>157</v>
      </c>
      <c r="D19" s="52" t="s">
        <v>188</v>
      </c>
      <c r="E19" s="54">
        <v>90</v>
      </c>
      <c r="F19" s="55">
        <v>23562.25</v>
      </c>
      <c r="G19" s="52" t="s">
        <v>177</v>
      </c>
      <c r="H19" s="52" t="s">
        <v>28</v>
      </c>
      <c r="I19" s="54">
        <f t="shared" si="0"/>
        <v>2120602.5</v>
      </c>
    </row>
    <row r="20" spans="1:9" x14ac:dyDescent="0.25">
      <c r="A20" s="52" t="s">
        <v>189</v>
      </c>
      <c r="B20" s="53">
        <v>45752</v>
      </c>
      <c r="C20" s="52" t="s">
        <v>145</v>
      </c>
      <c r="D20" s="52" t="s">
        <v>152</v>
      </c>
      <c r="E20" s="54">
        <v>29</v>
      </c>
      <c r="F20" s="55">
        <v>69778.63</v>
      </c>
      <c r="G20" s="52" t="s">
        <v>184</v>
      </c>
      <c r="H20" s="52" t="s">
        <v>28</v>
      </c>
      <c r="I20" s="54">
        <f t="shared" si="0"/>
        <v>2023580.27</v>
      </c>
    </row>
    <row r="21" spans="1:9" x14ac:dyDescent="0.25">
      <c r="A21" s="52" t="s">
        <v>190</v>
      </c>
      <c r="B21" s="53">
        <v>45299</v>
      </c>
      <c r="C21" s="52" t="s">
        <v>81</v>
      </c>
      <c r="D21" s="52" t="s">
        <v>191</v>
      </c>
      <c r="E21" s="54">
        <v>8100</v>
      </c>
      <c r="F21" s="55">
        <v>247.2</v>
      </c>
      <c r="G21" s="52" t="s">
        <v>150</v>
      </c>
      <c r="H21" s="52" t="s">
        <v>29</v>
      </c>
      <c r="I21" s="54">
        <f t="shared" si="0"/>
        <v>2002320</v>
      </c>
    </row>
    <row r="22" spans="1:9" x14ac:dyDescent="0.25">
      <c r="A22" s="52" t="s">
        <v>192</v>
      </c>
      <c r="B22" s="53">
        <v>45370</v>
      </c>
      <c r="C22" s="52" t="s">
        <v>145</v>
      </c>
      <c r="D22" s="52" t="s">
        <v>193</v>
      </c>
      <c r="E22" s="54">
        <v>24</v>
      </c>
      <c r="F22" s="55">
        <v>62597.24</v>
      </c>
      <c r="G22" s="52" t="s">
        <v>147</v>
      </c>
      <c r="H22" s="52" t="s">
        <v>28</v>
      </c>
      <c r="I22" s="54">
        <f t="shared" si="0"/>
        <v>1502333.76</v>
      </c>
    </row>
    <row r="23" spans="1:9" x14ac:dyDescent="0.25">
      <c r="A23" s="52" t="s">
        <v>194</v>
      </c>
      <c r="B23" s="53">
        <v>45450</v>
      </c>
      <c r="C23" s="52" t="s">
        <v>79</v>
      </c>
      <c r="D23" s="52" t="s">
        <v>173</v>
      </c>
      <c r="E23" s="54">
        <v>8200</v>
      </c>
      <c r="F23" s="55">
        <v>179.95</v>
      </c>
      <c r="G23" s="52" t="s">
        <v>147</v>
      </c>
      <c r="H23" s="52" t="s">
        <v>29</v>
      </c>
      <c r="I23" s="54">
        <f t="shared" si="0"/>
        <v>1475590</v>
      </c>
    </row>
    <row r="24" spans="1:9" x14ac:dyDescent="0.25">
      <c r="A24" s="52" t="s">
        <v>195</v>
      </c>
      <c r="B24" s="53">
        <v>45360</v>
      </c>
      <c r="C24" s="52" t="s">
        <v>145</v>
      </c>
      <c r="D24" s="52" t="s">
        <v>193</v>
      </c>
      <c r="E24" s="54">
        <v>22</v>
      </c>
      <c r="F24" s="55">
        <v>62777.2</v>
      </c>
      <c r="G24" s="52" t="s">
        <v>150</v>
      </c>
      <c r="H24" s="52" t="s">
        <v>28</v>
      </c>
      <c r="I24" s="54">
        <f t="shared" si="0"/>
        <v>1381098.4</v>
      </c>
    </row>
    <row r="25" spans="1:9" x14ac:dyDescent="0.25">
      <c r="A25" s="52" t="s">
        <v>196</v>
      </c>
      <c r="B25" s="53">
        <v>45745</v>
      </c>
      <c r="C25" s="52" t="s">
        <v>145</v>
      </c>
      <c r="D25" s="52" t="s">
        <v>197</v>
      </c>
      <c r="E25" s="54">
        <v>25</v>
      </c>
      <c r="F25" s="55">
        <v>55071.02</v>
      </c>
      <c r="G25" s="52" t="s">
        <v>166</v>
      </c>
      <c r="H25" s="52" t="s">
        <v>28</v>
      </c>
      <c r="I25" s="54">
        <f t="shared" si="0"/>
        <v>1376775.5</v>
      </c>
    </row>
    <row r="26" spans="1:9" x14ac:dyDescent="0.25">
      <c r="A26" s="52" t="s">
        <v>198</v>
      </c>
      <c r="B26" s="53">
        <v>45389</v>
      </c>
      <c r="C26" s="52" t="s">
        <v>157</v>
      </c>
      <c r="D26" s="52" t="s">
        <v>199</v>
      </c>
      <c r="E26" s="54">
        <v>56</v>
      </c>
      <c r="F26" s="55">
        <v>23675.919999999998</v>
      </c>
      <c r="G26" s="52" t="s">
        <v>147</v>
      </c>
      <c r="H26" s="52" t="s">
        <v>28</v>
      </c>
      <c r="I26" s="54">
        <f t="shared" si="0"/>
        <v>1325851.52</v>
      </c>
    </row>
    <row r="27" spans="1:9" x14ac:dyDescent="0.25">
      <c r="A27" s="52" t="s">
        <v>200</v>
      </c>
      <c r="B27" s="53">
        <v>45924</v>
      </c>
      <c r="C27" s="52" t="s">
        <v>157</v>
      </c>
      <c r="D27" s="52" t="s">
        <v>173</v>
      </c>
      <c r="E27" s="54">
        <v>59</v>
      </c>
      <c r="F27" s="55">
        <v>20662.740000000002</v>
      </c>
      <c r="G27" s="52" t="s">
        <v>158</v>
      </c>
      <c r="H27" s="52" t="s">
        <v>28</v>
      </c>
      <c r="I27" s="54">
        <f t="shared" si="0"/>
        <v>1219101.6600000001</v>
      </c>
    </row>
    <row r="28" spans="1:9" x14ac:dyDescent="0.25">
      <c r="A28" s="52" t="s">
        <v>201</v>
      </c>
      <c r="B28" s="53">
        <v>45713</v>
      </c>
      <c r="C28" s="52" t="s">
        <v>79</v>
      </c>
      <c r="D28" s="52" t="s">
        <v>202</v>
      </c>
      <c r="E28" s="54">
        <v>7200</v>
      </c>
      <c r="F28" s="55">
        <v>150.28</v>
      </c>
      <c r="G28" s="52" t="s">
        <v>153</v>
      </c>
      <c r="H28" s="52" t="s">
        <v>29</v>
      </c>
      <c r="I28" s="54">
        <f t="shared" si="0"/>
        <v>1082016</v>
      </c>
    </row>
    <row r="29" spans="1:9" x14ac:dyDescent="0.25">
      <c r="A29" s="52" t="s">
        <v>203</v>
      </c>
      <c r="B29" s="53">
        <v>45752</v>
      </c>
      <c r="C29" s="52" t="s">
        <v>79</v>
      </c>
      <c r="D29" s="52" t="s">
        <v>149</v>
      </c>
      <c r="E29" s="54">
        <v>5200</v>
      </c>
      <c r="F29" s="55">
        <v>198.5</v>
      </c>
      <c r="G29" s="52" t="s">
        <v>153</v>
      </c>
      <c r="H29" s="52" t="s">
        <v>29</v>
      </c>
      <c r="I29" s="54">
        <f t="shared" si="0"/>
        <v>1032200</v>
      </c>
    </row>
    <row r="30" spans="1:9" x14ac:dyDescent="0.25">
      <c r="A30" s="52" t="s">
        <v>204</v>
      </c>
      <c r="B30" s="53">
        <v>45330</v>
      </c>
      <c r="C30" s="52" t="s">
        <v>157</v>
      </c>
      <c r="D30" s="52" t="s">
        <v>175</v>
      </c>
      <c r="E30" s="54">
        <v>50</v>
      </c>
      <c r="F30" s="55">
        <v>18087.95</v>
      </c>
      <c r="G30" s="52" t="s">
        <v>153</v>
      </c>
      <c r="H30" s="52" t="s">
        <v>28</v>
      </c>
      <c r="I30" s="54">
        <f t="shared" si="0"/>
        <v>904397.5</v>
      </c>
    </row>
    <row r="31" spans="1:9" x14ac:dyDescent="0.25">
      <c r="A31" s="52" t="s">
        <v>205</v>
      </c>
      <c r="B31" s="53">
        <v>46015</v>
      </c>
      <c r="C31" s="52" t="s">
        <v>157</v>
      </c>
      <c r="D31" s="52" t="s">
        <v>206</v>
      </c>
      <c r="E31" s="54">
        <v>39</v>
      </c>
      <c r="F31" s="55">
        <v>20213.27</v>
      </c>
      <c r="G31" s="52" t="s">
        <v>166</v>
      </c>
      <c r="H31" s="52" t="s">
        <v>28</v>
      </c>
      <c r="I31" s="54">
        <f t="shared" si="0"/>
        <v>788317.53</v>
      </c>
    </row>
    <row r="32" spans="1:9" x14ac:dyDescent="0.25">
      <c r="A32" s="52" t="s">
        <v>207</v>
      </c>
      <c r="B32" s="53">
        <v>45661</v>
      </c>
      <c r="C32" s="52" t="s">
        <v>157</v>
      </c>
      <c r="D32" s="52" t="s">
        <v>206</v>
      </c>
      <c r="E32" s="54">
        <v>37</v>
      </c>
      <c r="F32" s="55">
        <v>18812.55</v>
      </c>
      <c r="G32" s="52" t="s">
        <v>179</v>
      </c>
      <c r="H32" s="52" t="s">
        <v>28</v>
      </c>
      <c r="I32" s="54">
        <f t="shared" si="0"/>
        <v>696064.35</v>
      </c>
    </row>
    <row r="33" spans="1:9" x14ac:dyDescent="0.25">
      <c r="A33" s="52" t="s">
        <v>208</v>
      </c>
      <c r="B33" s="53">
        <v>45468</v>
      </c>
      <c r="C33" s="52" t="s">
        <v>79</v>
      </c>
      <c r="D33" s="52" t="s">
        <v>193</v>
      </c>
      <c r="E33" s="54">
        <v>3400</v>
      </c>
      <c r="F33" s="55">
        <v>199.64</v>
      </c>
      <c r="G33" s="52" t="s">
        <v>177</v>
      </c>
      <c r="H33" s="52" t="s">
        <v>29</v>
      </c>
      <c r="I33" s="54">
        <f t="shared" si="0"/>
        <v>678776</v>
      </c>
    </row>
    <row r="34" spans="1:9" x14ac:dyDescent="0.25">
      <c r="A34" s="52" t="s">
        <v>209</v>
      </c>
      <c r="B34" s="53">
        <v>45376</v>
      </c>
      <c r="C34" s="52" t="s">
        <v>79</v>
      </c>
      <c r="D34" s="52" t="s">
        <v>173</v>
      </c>
      <c r="E34" s="54">
        <v>3200</v>
      </c>
      <c r="F34" s="55">
        <v>196.33</v>
      </c>
      <c r="G34" s="52" t="s">
        <v>150</v>
      </c>
      <c r="H34" s="52" t="s">
        <v>29</v>
      </c>
      <c r="I34" s="54">
        <f t="shared" ref="I34:I65" si="1">E34*F34</f>
        <v>628256</v>
      </c>
    </row>
    <row r="35" spans="1:9" x14ac:dyDescent="0.25">
      <c r="A35" s="52" t="s">
        <v>210</v>
      </c>
      <c r="B35" s="53">
        <v>45371</v>
      </c>
      <c r="C35" s="52" t="s">
        <v>77</v>
      </c>
      <c r="D35" s="52" t="s">
        <v>183</v>
      </c>
      <c r="E35" s="54">
        <v>9900</v>
      </c>
      <c r="F35" s="55">
        <v>54.41</v>
      </c>
      <c r="G35" s="52" t="s">
        <v>177</v>
      </c>
      <c r="H35" s="52" t="s">
        <v>29</v>
      </c>
      <c r="I35" s="54">
        <f t="shared" si="1"/>
        <v>538659</v>
      </c>
    </row>
    <row r="36" spans="1:9" x14ac:dyDescent="0.25">
      <c r="A36" s="52" t="s">
        <v>211</v>
      </c>
      <c r="B36" s="53">
        <v>45949</v>
      </c>
      <c r="C36" s="52" t="s">
        <v>79</v>
      </c>
      <c r="D36" s="52" t="s">
        <v>165</v>
      </c>
      <c r="E36" s="54">
        <v>2900</v>
      </c>
      <c r="F36" s="55">
        <v>181.29</v>
      </c>
      <c r="G36" s="52" t="s">
        <v>158</v>
      </c>
      <c r="H36" s="52" t="s">
        <v>29</v>
      </c>
      <c r="I36" s="54">
        <f t="shared" si="1"/>
        <v>525741</v>
      </c>
    </row>
    <row r="37" spans="1:9" x14ac:dyDescent="0.25">
      <c r="A37" s="52" t="s">
        <v>212</v>
      </c>
      <c r="B37" s="53">
        <v>45874</v>
      </c>
      <c r="C37" s="52" t="s">
        <v>157</v>
      </c>
      <c r="D37" s="52" t="s">
        <v>213</v>
      </c>
      <c r="E37" s="54">
        <v>25</v>
      </c>
      <c r="F37" s="55">
        <v>20370.080000000002</v>
      </c>
      <c r="G37" s="52" t="s">
        <v>166</v>
      </c>
      <c r="H37" s="52" t="s">
        <v>28</v>
      </c>
      <c r="I37" s="54">
        <f t="shared" si="1"/>
        <v>509252.00000000006</v>
      </c>
    </row>
    <row r="38" spans="1:9" x14ac:dyDescent="0.25">
      <c r="A38" s="52" t="s">
        <v>214</v>
      </c>
      <c r="B38" s="53">
        <v>45432</v>
      </c>
      <c r="C38" s="52" t="s">
        <v>81</v>
      </c>
      <c r="D38" s="52" t="s">
        <v>169</v>
      </c>
      <c r="E38" s="54">
        <v>99</v>
      </c>
      <c r="F38" s="55">
        <v>4924.59</v>
      </c>
      <c r="G38" s="52" t="s">
        <v>158</v>
      </c>
      <c r="H38" s="52" t="s">
        <v>28</v>
      </c>
      <c r="I38" s="54">
        <f t="shared" si="1"/>
        <v>487534.41000000003</v>
      </c>
    </row>
    <row r="39" spans="1:9" x14ac:dyDescent="0.25">
      <c r="A39" s="52" t="s">
        <v>215</v>
      </c>
      <c r="B39" s="53">
        <v>45964</v>
      </c>
      <c r="C39" s="52" t="s">
        <v>81</v>
      </c>
      <c r="D39" s="52" t="s">
        <v>213</v>
      </c>
      <c r="E39" s="54">
        <v>96</v>
      </c>
      <c r="F39" s="55">
        <v>4895.1400000000003</v>
      </c>
      <c r="G39" s="52" t="s">
        <v>216</v>
      </c>
      <c r="H39" s="52" t="s">
        <v>28</v>
      </c>
      <c r="I39" s="54">
        <f t="shared" si="1"/>
        <v>469933.44000000006</v>
      </c>
    </row>
    <row r="40" spans="1:9" x14ac:dyDescent="0.25">
      <c r="A40" s="52" t="s">
        <v>217</v>
      </c>
      <c r="B40" s="53">
        <v>45532</v>
      </c>
      <c r="C40" s="52" t="s">
        <v>168</v>
      </c>
      <c r="D40" s="52" t="s">
        <v>218</v>
      </c>
      <c r="E40" s="54">
        <v>600</v>
      </c>
      <c r="F40" s="55">
        <v>699.94</v>
      </c>
      <c r="G40" s="52" t="s">
        <v>161</v>
      </c>
      <c r="H40" s="52" t="s">
        <v>29</v>
      </c>
      <c r="I40" s="54">
        <f t="shared" si="1"/>
        <v>419964.00000000006</v>
      </c>
    </row>
    <row r="41" spans="1:9" x14ac:dyDescent="0.25">
      <c r="A41" s="52" t="s">
        <v>219</v>
      </c>
      <c r="B41" s="53">
        <v>45797</v>
      </c>
      <c r="C41" s="52" t="s">
        <v>81</v>
      </c>
      <c r="D41" s="52" t="s">
        <v>220</v>
      </c>
      <c r="E41" s="54">
        <v>88</v>
      </c>
      <c r="F41" s="55">
        <v>4767.5</v>
      </c>
      <c r="G41" s="52" t="s">
        <v>166</v>
      </c>
      <c r="H41" s="52" t="s">
        <v>28</v>
      </c>
      <c r="I41" s="54">
        <f t="shared" si="1"/>
        <v>419540</v>
      </c>
    </row>
    <row r="42" spans="1:9" x14ac:dyDescent="0.25">
      <c r="A42" s="52" t="s">
        <v>221</v>
      </c>
      <c r="B42" s="53">
        <v>45845</v>
      </c>
      <c r="C42" s="52" t="s">
        <v>79</v>
      </c>
      <c r="D42" s="52" t="s">
        <v>222</v>
      </c>
      <c r="E42" s="54">
        <v>1800</v>
      </c>
      <c r="F42" s="55">
        <v>212.38</v>
      </c>
      <c r="G42" s="52" t="s">
        <v>158</v>
      </c>
      <c r="H42" s="52" t="s">
        <v>29</v>
      </c>
      <c r="I42" s="54">
        <f t="shared" si="1"/>
        <v>382284</v>
      </c>
    </row>
    <row r="43" spans="1:9" x14ac:dyDescent="0.25">
      <c r="A43" s="52" t="s">
        <v>223</v>
      </c>
      <c r="B43" s="53">
        <v>45660</v>
      </c>
      <c r="C43" s="52" t="s">
        <v>77</v>
      </c>
      <c r="D43" s="52" t="s">
        <v>155</v>
      </c>
      <c r="E43" s="54">
        <v>7200</v>
      </c>
      <c r="F43" s="55">
        <v>47.58</v>
      </c>
      <c r="G43" s="52" t="s">
        <v>161</v>
      </c>
      <c r="H43" s="52" t="s">
        <v>29</v>
      </c>
      <c r="I43" s="54">
        <f t="shared" si="1"/>
        <v>342576</v>
      </c>
    </row>
    <row r="44" spans="1:9" x14ac:dyDescent="0.25">
      <c r="A44" s="52" t="s">
        <v>224</v>
      </c>
      <c r="B44" s="53">
        <v>45545</v>
      </c>
      <c r="C44" s="52" t="s">
        <v>81</v>
      </c>
      <c r="D44" s="52" t="s">
        <v>225</v>
      </c>
      <c r="E44" s="54">
        <v>90</v>
      </c>
      <c r="F44" s="55">
        <v>3541.25</v>
      </c>
      <c r="G44" s="52" t="s">
        <v>147</v>
      </c>
      <c r="H44" s="52" t="s">
        <v>28</v>
      </c>
      <c r="I44" s="54">
        <f t="shared" si="1"/>
        <v>318712.5</v>
      </c>
    </row>
    <row r="45" spans="1:9" x14ac:dyDescent="0.25">
      <c r="A45" s="52" t="s">
        <v>226</v>
      </c>
      <c r="B45" s="53">
        <v>45865</v>
      </c>
      <c r="C45" s="52" t="s">
        <v>168</v>
      </c>
      <c r="D45" s="52" t="s">
        <v>227</v>
      </c>
      <c r="E45" s="54">
        <v>25</v>
      </c>
      <c r="F45" s="55">
        <v>11742.37</v>
      </c>
      <c r="G45" s="52" t="s">
        <v>158</v>
      </c>
      <c r="H45" s="52" t="s">
        <v>28</v>
      </c>
      <c r="I45" s="54">
        <f t="shared" si="1"/>
        <v>293559.25</v>
      </c>
    </row>
    <row r="46" spans="1:9" x14ac:dyDescent="0.25">
      <c r="A46" s="52" t="s">
        <v>228</v>
      </c>
      <c r="B46" s="53">
        <v>45479</v>
      </c>
      <c r="C46" s="52" t="s">
        <v>81</v>
      </c>
      <c r="D46" s="52" t="s">
        <v>229</v>
      </c>
      <c r="E46" s="54">
        <v>68</v>
      </c>
      <c r="F46" s="55">
        <v>4300.6400000000003</v>
      </c>
      <c r="G46" s="52" t="s">
        <v>177</v>
      </c>
      <c r="H46" s="52" t="s">
        <v>28</v>
      </c>
      <c r="I46" s="54">
        <f t="shared" si="1"/>
        <v>292443.52000000002</v>
      </c>
    </row>
    <row r="47" spans="1:9" x14ac:dyDescent="0.25">
      <c r="A47" s="52" t="s">
        <v>230</v>
      </c>
      <c r="B47" s="53">
        <v>45431</v>
      </c>
      <c r="C47" s="52" t="s">
        <v>81</v>
      </c>
      <c r="D47" s="52" t="s">
        <v>231</v>
      </c>
      <c r="E47" s="54">
        <v>74</v>
      </c>
      <c r="F47" s="55">
        <v>3740.93</v>
      </c>
      <c r="G47" s="52" t="s">
        <v>177</v>
      </c>
      <c r="H47" s="52" t="s">
        <v>28</v>
      </c>
      <c r="I47" s="54">
        <f t="shared" si="1"/>
        <v>276828.82</v>
      </c>
    </row>
    <row r="48" spans="1:9" x14ac:dyDescent="0.25">
      <c r="A48" s="52" t="s">
        <v>232</v>
      </c>
      <c r="B48" s="53">
        <v>45892</v>
      </c>
      <c r="C48" s="52" t="s">
        <v>79</v>
      </c>
      <c r="D48" s="52" t="s">
        <v>206</v>
      </c>
      <c r="E48" s="54">
        <v>92</v>
      </c>
      <c r="F48" s="55">
        <v>2923.2</v>
      </c>
      <c r="G48" s="52" t="s">
        <v>216</v>
      </c>
      <c r="H48" s="52" t="s">
        <v>28</v>
      </c>
      <c r="I48" s="54">
        <f t="shared" si="1"/>
        <v>268934.39999999997</v>
      </c>
    </row>
    <row r="49" spans="1:9" x14ac:dyDescent="0.25">
      <c r="A49" s="52" t="s">
        <v>233</v>
      </c>
      <c r="B49" s="53">
        <v>45528</v>
      </c>
      <c r="C49" s="52" t="s">
        <v>81</v>
      </c>
      <c r="D49" s="52" t="s">
        <v>225</v>
      </c>
      <c r="E49" s="54">
        <v>800</v>
      </c>
      <c r="F49" s="55">
        <v>313.07</v>
      </c>
      <c r="G49" s="52" t="s">
        <v>184</v>
      </c>
      <c r="H49" s="52" t="s">
        <v>29</v>
      </c>
      <c r="I49" s="54">
        <f t="shared" si="1"/>
        <v>250456</v>
      </c>
    </row>
    <row r="50" spans="1:9" x14ac:dyDescent="0.25">
      <c r="A50" s="52" t="s">
        <v>234</v>
      </c>
      <c r="B50" s="53">
        <v>45945</v>
      </c>
      <c r="C50" s="52" t="s">
        <v>81</v>
      </c>
      <c r="D50" s="52" t="s">
        <v>171</v>
      </c>
      <c r="E50" s="54">
        <v>62</v>
      </c>
      <c r="F50" s="55">
        <v>3488.53</v>
      </c>
      <c r="G50" s="52" t="s">
        <v>179</v>
      </c>
      <c r="H50" s="52" t="s">
        <v>28</v>
      </c>
      <c r="I50" s="54">
        <f t="shared" si="1"/>
        <v>216288.86000000002</v>
      </c>
    </row>
    <row r="51" spans="1:9" x14ac:dyDescent="0.25">
      <c r="A51" s="52" t="s">
        <v>235</v>
      </c>
      <c r="B51" s="53">
        <v>45845</v>
      </c>
      <c r="C51" s="52" t="s">
        <v>77</v>
      </c>
      <c r="D51" s="52" t="s">
        <v>188</v>
      </c>
      <c r="E51" s="54">
        <v>3900</v>
      </c>
      <c r="F51" s="55">
        <v>51.71</v>
      </c>
      <c r="G51" s="52" t="s">
        <v>166</v>
      </c>
      <c r="H51" s="52" t="s">
        <v>29</v>
      </c>
      <c r="I51" s="54">
        <f t="shared" si="1"/>
        <v>201669</v>
      </c>
    </row>
    <row r="52" spans="1:9" x14ac:dyDescent="0.25">
      <c r="A52" s="52" t="s">
        <v>236</v>
      </c>
      <c r="B52" s="53">
        <v>45789</v>
      </c>
      <c r="C52" s="52" t="s">
        <v>79</v>
      </c>
      <c r="D52" s="52" t="s">
        <v>202</v>
      </c>
      <c r="E52" s="54">
        <v>69</v>
      </c>
      <c r="F52" s="55">
        <v>2755.02</v>
      </c>
      <c r="G52" s="52" t="s">
        <v>184</v>
      </c>
      <c r="H52" s="52" t="s">
        <v>28</v>
      </c>
      <c r="I52" s="54">
        <f t="shared" si="1"/>
        <v>190096.38</v>
      </c>
    </row>
    <row r="53" spans="1:9" x14ac:dyDescent="0.25">
      <c r="A53" s="52" t="s">
        <v>237</v>
      </c>
      <c r="B53" s="53">
        <v>45361</v>
      </c>
      <c r="C53" s="52" t="s">
        <v>77</v>
      </c>
      <c r="D53" s="52" t="s">
        <v>238</v>
      </c>
      <c r="E53" s="54">
        <v>3600</v>
      </c>
      <c r="F53" s="55">
        <v>51.52</v>
      </c>
      <c r="G53" s="52" t="s">
        <v>184</v>
      </c>
      <c r="H53" s="52" t="s">
        <v>29</v>
      </c>
      <c r="I53" s="54">
        <f t="shared" si="1"/>
        <v>185472</v>
      </c>
    </row>
    <row r="54" spans="1:9" x14ac:dyDescent="0.25">
      <c r="A54" s="52" t="s">
        <v>239</v>
      </c>
      <c r="B54" s="53">
        <v>45506</v>
      </c>
      <c r="C54" s="52" t="s">
        <v>81</v>
      </c>
      <c r="D54" s="52" t="s">
        <v>240</v>
      </c>
      <c r="E54" s="54">
        <v>44</v>
      </c>
      <c r="F54" s="55">
        <v>4009.07</v>
      </c>
      <c r="G54" s="52" t="s">
        <v>158</v>
      </c>
      <c r="H54" s="52" t="s">
        <v>28</v>
      </c>
      <c r="I54" s="54">
        <f t="shared" si="1"/>
        <v>176399.08000000002</v>
      </c>
    </row>
    <row r="55" spans="1:9" x14ac:dyDescent="0.25">
      <c r="A55" s="52" t="s">
        <v>241</v>
      </c>
      <c r="B55" s="53">
        <v>45408</v>
      </c>
      <c r="C55" s="52" t="s">
        <v>81</v>
      </c>
      <c r="D55" s="52" t="s">
        <v>206</v>
      </c>
      <c r="E55" s="54">
        <v>40</v>
      </c>
      <c r="F55" s="55">
        <v>4175.0600000000004</v>
      </c>
      <c r="G55" s="52" t="s">
        <v>150</v>
      </c>
      <c r="H55" s="52" t="s">
        <v>28</v>
      </c>
      <c r="I55" s="54">
        <f t="shared" si="1"/>
        <v>167002.40000000002</v>
      </c>
    </row>
    <row r="56" spans="1:9" x14ac:dyDescent="0.25">
      <c r="A56" s="52" t="s">
        <v>242</v>
      </c>
      <c r="B56" s="53">
        <v>45406</v>
      </c>
      <c r="C56" s="52" t="s">
        <v>168</v>
      </c>
      <c r="D56" s="52" t="s">
        <v>243</v>
      </c>
      <c r="E56" s="54">
        <v>16</v>
      </c>
      <c r="F56" s="55">
        <v>10090.07</v>
      </c>
      <c r="G56" s="52" t="s">
        <v>179</v>
      </c>
      <c r="H56" s="52" t="s">
        <v>28</v>
      </c>
      <c r="I56" s="54">
        <f t="shared" si="1"/>
        <v>161441.12</v>
      </c>
    </row>
    <row r="57" spans="1:9" x14ac:dyDescent="0.25">
      <c r="A57" s="52" t="s">
        <v>244</v>
      </c>
      <c r="B57" s="53">
        <v>45871</v>
      </c>
      <c r="C57" s="52" t="s">
        <v>81</v>
      </c>
      <c r="D57" s="52" t="s">
        <v>173</v>
      </c>
      <c r="E57" s="54">
        <v>34</v>
      </c>
      <c r="F57" s="55">
        <v>3399.65</v>
      </c>
      <c r="G57" s="52" t="s">
        <v>166</v>
      </c>
      <c r="H57" s="52" t="s">
        <v>28</v>
      </c>
      <c r="I57" s="54">
        <f t="shared" si="1"/>
        <v>115588.1</v>
      </c>
    </row>
    <row r="58" spans="1:9" x14ac:dyDescent="0.25">
      <c r="A58" s="52" t="s">
        <v>245</v>
      </c>
      <c r="B58" s="53">
        <v>45585</v>
      </c>
      <c r="C58" s="52" t="s">
        <v>79</v>
      </c>
      <c r="D58" s="52" t="s">
        <v>152</v>
      </c>
      <c r="E58" s="54">
        <v>40</v>
      </c>
      <c r="F58" s="55">
        <v>2851.44</v>
      </c>
      <c r="G58" s="52" t="s">
        <v>161</v>
      </c>
      <c r="H58" s="52" t="s">
        <v>28</v>
      </c>
      <c r="I58" s="54">
        <f t="shared" si="1"/>
        <v>114057.60000000001</v>
      </c>
    </row>
    <row r="59" spans="1:9" x14ac:dyDescent="0.25">
      <c r="A59" s="52" t="s">
        <v>246</v>
      </c>
      <c r="B59" s="53">
        <v>45499</v>
      </c>
      <c r="C59" s="52" t="s">
        <v>79</v>
      </c>
      <c r="D59" s="52" t="s">
        <v>155</v>
      </c>
      <c r="E59" s="54">
        <v>28</v>
      </c>
      <c r="F59" s="55">
        <v>2595.0700000000002</v>
      </c>
      <c r="G59" s="52" t="s">
        <v>184</v>
      </c>
      <c r="H59" s="52" t="s">
        <v>28</v>
      </c>
      <c r="I59" s="54">
        <f t="shared" si="1"/>
        <v>72661.960000000006</v>
      </c>
    </row>
    <row r="60" spans="1:9" x14ac:dyDescent="0.25">
      <c r="A60" s="52" t="s">
        <v>247</v>
      </c>
      <c r="B60" s="53">
        <v>45836</v>
      </c>
      <c r="C60" s="52" t="s">
        <v>77</v>
      </c>
      <c r="D60" s="52" t="s">
        <v>248</v>
      </c>
      <c r="E60" s="54">
        <v>97</v>
      </c>
      <c r="F60" s="55">
        <v>740.9</v>
      </c>
      <c r="G60" s="52" t="s">
        <v>147</v>
      </c>
      <c r="H60" s="52" t="s">
        <v>28</v>
      </c>
      <c r="I60" s="54">
        <f t="shared" si="1"/>
        <v>71867.3</v>
      </c>
    </row>
    <row r="61" spans="1:9" x14ac:dyDescent="0.25">
      <c r="A61" s="52" t="s">
        <v>249</v>
      </c>
      <c r="B61" s="53">
        <v>45751</v>
      </c>
      <c r="C61" s="52" t="s">
        <v>77</v>
      </c>
      <c r="D61" s="52" t="s">
        <v>250</v>
      </c>
      <c r="E61" s="54">
        <v>1200</v>
      </c>
      <c r="F61" s="55">
        <v>54.64</v>
      </c>
      <c r="G61" s="52" t="s">
        <v>179</v>
      </c>
      <c r="H61" s="52" t="s">
        <v>29</v>
      </c>
      <c r="I61" s="54">
        <f t="shared" si="1"/>
        <v>65568</v>
      </c>
    </row>
    <row r="62" spans="1:9" x14ac:dyDescent="0.25">
      <c r="A62" s="52" t="s">
        <v>251</v>
      </c>
      <c r="B62" s="53">
        <v>45591</v>
      </c>
      <c r="C62" s="52" t="s">
        <v>79</v>
      </c>
      <c r="D62" s="52" t="s">
        <v>252</v>
      </c>
      <c r="E62" s="54">
        <v>23</v>
      </c>
      <c r="F62" s="55">
        <v>2776.8</v>
      </c>
      <c r="G62" s="52" t="s">
        <v>184</v>
      </c>
      <c r="H62" s="52" t="s">
        <v>28</v>
      </c>
      <c r="I62" s="54">
        <f t="shared" si="1"/>
        <v>63866.400000000001</v>
      </c>
    </row>
    <row r="63" spans="1:9" x14ac:dyDescent="0.25">
      <c r="A63" s="52" t="s">
        <v>253</v>
      </c>
      <c r="B63" s="53">
        <v>45963</v>
      </c>
      <c r="C63" s="52" t="s">
        <v>77</v>
      </c>
      <c r="D63" s="52" t="s">
        <v>175</v>
      </c>
      <c r="E63" s="54">
        <v>66</v>
      </c>
      <c r="F63" s="55">
        <v>789.38</v>
      </c>
      <c r="G63" s="52" t="s">
        <v>147</v>
      </c>
      <c r="H63" s="52" t="s">
        <v>28</v>
      </c>
      <c r="I63" s="54">
        <f t="shared" si="1"/>
        <v>52099.08</v>
      </c>
    </row>
    <row r="64" spans="1:9" x14ac:dyDescent="0.25">
      <c r="A64" s="52" t="s">
        <v>254</v>
      </c>
      <c r="B64" s="53">
        <v>45400</v>
      </c>
      <c r="C64" s="52" t="s">
        <v>81</v>
      </c>
      <c r="D64" s="52" t="s">
        <v>240</v>
      </c>
      <c r="E64" s="54">
        <v>10</v>
      </c>
      <c r="F64" s="55">
        <v>4844.0600000000004</v>
      </c>
      <c r="G64" s="52" t="s">
        <v>150</v>
      </c>
      <c r="H64" s="52" t="s">
        <v>28</v>
      </c>
      <c r="I64" s="54">
        <f t="shared" si="1"/>
        <v>48440.600000000006</v>
      </c>
    </row>
    <row r="65" spans="1:9" x14ac:dyDescent="0.25">
      <c r="A65" s="52" t="s">
        <v>255</v>
      </c>
      <c r="B65" s="53">
        <v>45712</v>
      </c>
      <c r="C65" s="52" t="s">
        <v>79</v>
      </c>
      <c r="D65" s="52" t="s">
        <v>165</v>
      </c>
      <c r="E65" s="54">
        <v>15</v>
      </c>
      <c r="F65" s="55">
        <v>3097.95</v>
      </c>
      <c r="G65" s="52" t="s">
        <v>153</v>
      </c>
      <c r="H65" s="52" t="s">
        <v>28</v>
      </c>
      <c r="I65" s="54">
        <f t="shared" si="1"/>
        <v>46469.25</v>
      </c>
    </row>
    <row r="66" spans="1:9" x14ac:dyDescent="0.25">
      <c r="A66" s="52" t="s">
        <v>256</v>
      </c>
      <c r="B66" s="53">
        <v>45520</v>
      </c>
      <c r="C66" s="52" t="s">
        <v>77</v>
      </c>
      <c r="D66" s="52" t="s">
        <v>220</v>
      </c>
      <c r="E66" s="54">
        <v>72</v>
      </c>
      <c r="F66" s="55">
        <v>643.53</v>
      </c>
      <c r="G66" s="52" t="s">
        <v>179</v>
      </c>
      <c r="H66" s="52" t="s">
        <v>28</v>
      </c>
      <c r="I66" s="54">
        <f t="shared" ref="I66:I81" si="2">E66*F66</f>
        <v>46334.159999999996</v>
      </c>
    </row>
    <row r="67" spans="1:9" x14ac:dyDescent="0.25">
      <c r="A67" s="52" t="s">
        <v>257</v>
      </c>
      <c r="B67" s="53">
        <v>45634</v>
      </c>
      <c r="C67" s="52" t="s">
        <v>77</v>
      </c>
      <c r="D67" s="52" t="s">
        <v>202</v>
      </c>
      <c r="E67" s="54">
        <v>72</v>
      </c>
      <c r="F67" s="55">
        <v>607.24</v>
      </c>
      <c r="G67" s="52" t="s">
        <v>184</v>
      </c>
      <c r="H67" s="52" t="s">
        <v>28</v>
      </c>
      <c r="I67" s="54">
        <f t="shared" si="2"/>
        <v>43721.279999999999</v>
      </c>
    </row>
    <row r="68" spans="1:9" x14ac:dyDescent="0.25">
      <c r="A68" s="52" t="s">
        <v>258</v>
      </c>
      <c r="B68" s="53">
        <v>46013</v>
      </c>
      <c r="C68" s="52" t="s">
        <v>77</v>
      </c>
      <c r="D68" s="52" t="s">
        <v>238</v>
      </c>
      <c r="E68" s="54">
        <v>55</v>
      </c>
      <c r="F68" s="55">
        <v>764.45</v>
      </c>
      <c r="G68" s="52" t="s">
        <v>177</v>
      </c>
      <c r="H68" s="52" t="s">
        <v>28</v>
      </c>
      <c r="I68" s="54">
        <f t="shared" si="2"/>
        <v>42044.75</v>
      </c>
    </row>
    <row r="69" spans="1:9" x14ac:dyDescent="0.25">
      <c r="A69" s="52" t="s">
        <v>259</v>
      </c>
      <c r="B69" s="53">
        <v>45907</v>
      </c>
      <c r="C69" s="52" t="s">
        <v>77</v>
      </c>
      <c r="D69" s="52" t="s">
        <v>199</v>
      </c>
      <c r="E69" s="54">
        <v>48</v>
      </c>
      <c r="F69" s="55">
        <v>741.45</v>
      </c>
      <c r="G69" s="52" t="s">
        <v>166</v>
      </c>
      <c r="H69" s="52" t="s">
        <v>28</v>
      </c>
      <c r="I69" s="54">
        <f t="shared" si="2"/>
        <v>35589.600000000006</v>
      </c>
    </row>
    <row r="70" spans="1:9" x14ac:dyDescent="0.25">
      <c r="A70" s="52" t="s">
        <v>260</v>
      </c>
      <c r="B70" s="53">
        <v>45402</v>
      </c>
      <c r="C70" s="52" t="s">
        <v>77</v>
      </c>
      <c r="D70" s="52" t="s">
        <v>186</v>
      </c>
      <c r="E70" s="54">
        <v>53</v>
      </c>
      <c r="F70" s="55">
        <v>601.9</v>
      </c>
      <c r="G70" s="52" t="s">
        <v>177</v>
      </c>
      <c r="H70" s="52" t="s">
        <v>28</v>
      </c>
      <c r="I70" s="54">
        <f t="shared" si="2"/>
        <v>31900.699999999997</v>
      </c>
    </row>
    <row r="71" spans="1:9" x14ac:dyDescent="0.25">
      <c r="A71" s="52" t="s">
        <v>261</v>
      </c>
      <c r="B71" s="53">
        <v>45676</v>
      </c>
      <c r="C71" s="52" t="s">
        <v>79</v>
      </c>
      <c r="D71" s="52" t="s">
        <v>262</v>
      </c>
      <c r="E71" s="54">
        <v>12</v>
      </c>
      <c r="F71" s="55">
        <v>2419.36</v>
      </c>
      <c r="G71" s="52" t="s">
        <v>179</v>
      </c>
      <c r="H71" s="52" t="s">
        <v>28</v>
      </c>
      <c r="I71" s="54">
        <f t="shared" si="2"/>
        <v>29032.32</v>
      </c>
    </row>
    <row r="72" spans="1:9" x14ac:dyDescent="0.25">
      <c r="A72" s="52" t="s">
        <v>263</v>
      </c>
      <c r="B72" s="53">
        <v>45378</v>
      </c>
      <c r="C72" s="52" t="s">
        <v>79</v>
      </c>
      <c r="D72" s="52" t="s">
        <v>175</v>
      </c>
      <c r="E72" s="54">
        <v>10</v>
      </c>
      <c r="F72" s="55">
        <v>2733.93</v>
      </c>
      <c r="G72" s="52" t="s">
        <v>158</v>
      </c>
      <c r="H72" s="52" t="s">
        <v>28</v>
      </c>
      <c r="I72" s="54">
        <f t="shared" si="2"/>
        <v>27339.3</v>
      </c>
    </row>
    <row r="73" spans="1:9" x14ac:dyDescent="0.25">
      <c r="A73" s="52" t="s">
        <v>264</v>
      </c>
      <c r="B73" s="53">
        <v>45860</v>
      </c>
      <c r="C73" s="52" t="s">
        <v>81</v>
      </c>
      <c r="D73" s="52" t="s">
        <v>155</v>
      </c>
      <c r="E73" s="54">
        <v>6</v>
      </c>
      <c r="F73" s="55">
        <v>4519.21</v>
      </c>
      <c r="G73" s="52" t="s">
        <v>216</v>
      </c>
      <c r="H73" s="52" t="s">
        <v>28</v>
      </c>
      <c r="I73" s="54">
        <f t="shared" si="2"/>
        <v>27115.260000000002</v>
      </c>
    </row>
    <row r="74" spans="1:9" x14ac:dyDescent="0.25">
      <c r="A74" s="52" t="s">
        <v>265</v>
      </c>
      <c r="B74" s="53">
        <v>45771</v>
      </c>
      <c r="C74" s="52" t="s">
        <v>77</v>
      </c>
      <c r="D74" s="52" t="s">
        <v>191</v>
      </c>
      <c r="E74" s="54">
        <v>38</v>
      </c>
      <c r="F74" s="55">
        <v>600.94000000000005</v>
      </c>
      <c r="G74" s="52" t="s">
        <v>179</v>
      </c>
      <c r="H74" s="52" t="s">
        <v>28</v>
      </c>
      <c r="I74" s="54">
        <f t="shared" si="2"/>
        <v>22835.72</v>
      </c>
    </row>
    <row r="75" spans="1:9" x14ac:dyDescent="0.25">
      <c r="A75" s="52" t="s">
        <v>266</v>
      </c>
      <c r="B75" s="53">
        <v>45817</v>
      </c>
      <c r="C75" s="52" t="s">
        <v>77</v>
      </c>
      <c r="D75" s="52" t="s">
        <v>243</v>
      </c>
      <c r="E75" s="54">
        <v>35</v>
      </c>
      <c r="F75" s="55">
        <v>566.55999999999995</v>
      </c>
      <c r="G75" s="52" t="s">
        <v>153</v>
      </c>
      <c r="H75" s="52" t="s">
        <v>28</v>
      </c>
      <c r="I75" s="54">
        <f t="shared" si="2"/>
        <v>19829.599999999999</v>
      </c>
    </row>
    <row r="76" spans="1:9" x14ac:dyDescent="0.25">
      <c r="A76" s="52" t="s">
        <v>267</v>
      </c>
      <c r="B76" s="53">
        <v>45752</v>
      </c>
      <c r="C76" s="52" t="s">
        <v>77</v>
      </c>
      <c r="D76" s="52" t="s">
        <v>218</v>
      </c>
      <c r="E76" s="54">
        <v>25</v>
      </c>
      <c r="F76" s="55">
        <v>666.4</v>
      </c>
      <c r="G76" s="52" t="s">
        <v>216</v>
      </c>
      <c r="H76" s="52" t="s">
        <v>28</v>
      </c>
      <c r="I76" s="54">
        <f t="shared" si="2"/>
        <v>16660</v>
      </c>
    </row>
    <row r="77" spans="1:9" x14ac:dyDescent="0.25">
      <c r="A77" s="52" t="s">
        <v>268</v>
      </c>
      <c r="B77" s="53">
        <v>45995</v>
      </c>
      <c r="C77" s="52" t="s">
        <v>79</v>
      </c>
      <c r="D77" s="52" t="s">
        <v>269</v>
      </c>
      <c r="E77" s="54">
        <v>6</v>
      </c>
      <c r="F77" s="55">
        <v>2243.38</v>
      </c>
      <c r="G77" s="52" t="s">
        <v>161</v>
      </c>
      <c r="H77" s="52" t="s">
        <v>28</v>
      </c>
      <c r="I77" s="54">
        <f t="shared" si="2"/>
        <v>13460.28</v>
      </c>
    </row>
    <row r="78" spans="1:9" x14ac:dyDescent="0.25">
      <c r="A78" s="52" t="s">
        <v>270</v>
      </c>
      <c r="B78" s="53">
        <v>45693</v>
      </c>
      <c r="C78" s="52" t="s">
        <v>81</v>
      </c>
      <c r="D78" s="52" t="s">
        <v>271</v>
      </c>
      <c r="E78" s="54">
        <v>3</v>
      </c>
      <c r="F78" s="55">
        <v>3586.72</v>
      </c>
      <c r="G78" s="52" t="s">
        <v>150</v>
      </c>
      <c r="H78" s="52" t="s">
        <v>28</v>
      </c>
      <c r="I78" s="54">
        <f t="shared" si="2"/>
        <v>10760.16</v>
      </c>
    </row>
    <row r="79" spans="1:9" x14ac:dyDescent="0.25">
      <c r="A79" s="52" t="s">
        <v>272</v>
      </c>
      <c r="B79" s="53">
        <v>45644</v>
      </c>
      <c r="C79" s="52" t="s">
        <v>77</v>
      </c>
      <c r="D79" s="52" t="s">
        <v>262</v>
      </c>
      <c r="E79" s="54">
        <v>11</v>
      </c>
      <c r="F79" s="55">
        <v>616.69000000000005</v>
      </c>
      <c r="G79" s="52" t="s">
        <v>184</v>
      </c>
      <c r="H79" s="52" t="s">
        <v>28</v>
      </c>
      <c r="I79" s="54">
        <f t="shared" si="2"/>
        <v>6783.59</v>
      </c>
    </row>
    <row r="80" spans="1:9" x14ac:dyDescent="0.25">
      <c r="A80" s="52" t="s">
        <v>273</v>
      </c>
      <c r="B80" s="53">
        <v>45599</v>
      </c>
      <c r="C80" s="52" t="s">
        <v>77</v>
      </c>
      <c r="D80" s="52" t="s">
        <v>146</v>
      </c>
      <c r="E80" s="54">
        <v>6</v>
      </c>
      <c r="F80" s="55">
        <v>745.69</v>
      </c>
      <c r="G80" s="52" t="s">
        <v>150</v>
      </c>
      <c r="H80" s="52" t="s">
        <v>28</v>
      </c>
      <c r="I80" s="54">
        <f t="shared" si="2"/>
        <v>4474.1400000000003</v>
      </c>
    </row>
    <row r="81" spans="1:9" x14ac:dyDescent="0.25">
      <c r="A81" s="52" t="s">
        <v>274</v>
      </c>
      <c r="B81" s="53">
        <v>45636</v>
      </c>
      <c r="C81" s="52" t="s">
        <v>79</v>
      </c>
      <c r="D81" s="52" t="s">
        <v>218</v>
      </c>
      <c r="E81" s="54">
        <v>1</v>
      </c>
      <c r="F81" s="55">
        <v>3030.98</v>
      </c>
      <c r="G81" s="52" t="s">
        <v>166</v>
      </c>
      <c r="H81" s="52" t="s">
        <v>28</v>
      </c>
      <c r="I81" s="54">
        <f t="shared" si="2"/>
        <v>3030.98</v>
      </c>
    </row>
    <row r="83" spans="1:9" x14ac:dyDescent="0.25">
      <c r="A83" s="50" t="s">
        <v>275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5" customWidth="1"/>
    <col min="3" max="3" width="11" customWidth="1"/>
    <col min="4" max="4" width="14" customWidth="1"/>
    <col min="5" max="5" width="12" customWidth="1"/>
    <col min="6" max="6" width="14" customWidth="1"/>
    <col min="7" max="7" width="19" customWidth="1"/>
    <col min="8" max="8" width="15" customWidth="1"/>
    <col min="9" max="9" width="17" customWidth="1"/>
    <col min="10" max="15" width="16" customWidth="1"/>
    <col min="16" max="16" width="22" customWidth="1"/>
  </cols>
  <sheetData>
    <row r="1" spans="1:16" x14ac:dyDescent="0.25">
      <c r="A1" s="51" t="s">
        <v>26</v>
      </c>
      <c r="B1" s="51" t="s">
        <v>276</v>
      </c>
      <c r="C1" s="51" t="s">
        <v>277</v>
      </c>
      <c r="D1" s="51" t="s">
        <v>278</v>
      </c>
      <c r="E1" s="51" t="s">
        <v>279</v>
      </c>
      <c r="F1" s="51" t="s">
        <v>280</v>
      </c>
      <c r="G1" s="51" t="s">
        <v>281</v>
      </c>
      <c r="H1" s="51" t="s">
        <v>282</v>
      </c>
      <c r="I1" s="51" t="s">
        <v>283</v>
      </c>
      <c r="J1" s="51" t="s">
        <v>145</v>
      </c>
      <c r="K1" s="51" t="s">
        <v>157</v>
      </c>
      <c r="L1" s="51" t="s">
        <v>168</v>
      </c>
      <c r="M1" s="51" t="s">
        <v>81</v>
      </c>
      <c r="N1" s="51" t="s">
        <v>79</v>
      </c>
      <c r="O1" s="51" t="s">
        <v>77</v>
      </c>
      <c r="P1" s="51" t="s">
        <v>284</v>
      </c>
    </row>
    <row r="2" spans="1:16" x14ac:dyDescent="0.25">
      <c r="A2" s="52" t="s">
        <v>285</v>
      </c>
      <c r="B2" s="54">
        <v>179753375</v>
      </c>
      <c r="C2" s="54">
        <v>2012</v>
      </c>
      <c r="D2" s="54">
        <f t="shared" ref="D2:D33" si="0">B2/C2</f>
        <v>89340.643638170979</v>
      </c>
      <c r="E2" s="56">
        <f t="shared" ref="E2:E33" si="1">B2/SUM($B$2:$B$51)</f>
        <v>2.8552269363374225E-2</v>
      </c>
      <c r="F2" s="54">
        <f>COUNTIF(Data_Anomalies!$D$2:$D$81,A2)</f>
        <v>0</v>
      </c>
      <c r="G2" s="54">
        <f>SUMIF(Data_Anomalies!$D$2:$D$81,A2,Data_Anomalies!$I$2:$I$81)</f>
        <v>0</v>
      </c>
      <c r="H2" s="52" t="str">
        <f>IF(F2&gt;=Parameters!$B$3,"HIGH",IF(F2&gt;=Parameters!$B$4,"ELEVATED","LOW"))</f>
        <v>LOW</v>
      </c>
      <c r="I2" s="57">
        <f t="shared" ref="I2:I33" si="2">SUMIF($B$2:$B$51,"&gt;="&amp;B2)/SUM($B$2:$B$51)</f>
        <v>2.8552269363374225E-2</v>
      </c>
      <c r="J2" s="54">
        <f>SUMIFS(Data_Anomalies!$I$2:$I$81,Data_Anomalies!$D$2:$D$81,$A2,Data_Anomalies!$C$2:$C$81,J$1)</f>
        <v>0</v>
      </c>
      <c r="K2" s="54">
        <f>SUMIFS(Data_Anomalies!$I$2:$I$81,Data_Anomalies!$D$2:$D$81,$A2,Data_Anomalies!$C$2:$C$81,K$1)</f>
        <v>0</v>
      </c>
      <c r="L2" s="54">
        <f>SUMIFS(Data_Anomalies!$I$2:$I$81,Data_Anomalies!$D$2:$D$81,$A2,Data_Anomalies!$C$2:$C$81,L$1)</f>
        <v>0</v>
      </c>
      <c r="M2" s="54">
        <f>SUMIFS(Data_Anomalies!$I$2:$I$81,Data_Anomalies!$D$2:$D$81,$A2,Data_Anomalies!$C$2:$C$81,M$1)</f>
        <v>0</v>
      </c>
      <c r="N2" s="54">
        <f>SUMIFS(Data_Anomalies!$I$2:$I$81,Data_Anomalies!$D$2:$D$81,$A2,Data_Anomalies!$C$2:$C$81,N$1)</f>
        <v>0</v>
      </c>
      <c r="O2" s="54">
        <f>SUMIFS(Data_Anomalies!$I$2:$I$81,Data_Anomalies!$D$2:$D$81,$A2,Data_Anomalies!$C$2:$C$81,O$1)</f>
        <v>0</v>
      </c>
      <c r="P2" s="52" t="str">
        <f t="shared" ref="P2:P33" si="3">IF(G2=0,"—",INDEX($J$1:$O$1,MATCH(MAX(J2:O2),J2:O2,0)))</f>
        <v>—</v>
      </c>
    </row>
    <row r="3" spans="1:16" x14ac:dyDescent="0.25">
      <c r="A3" s="52" t="s">
        <v>146</v>
      </c>
      <c r="B3" s="54">
        <v>159930853</v>
      </c>
      <c r="C3" s="54">
        <v>1988</v>
      </c>
      <c r="D3" s="54">
        <f t="shared" si="0"/>
        <v>80448.115191146877</v>
      </c>
      <c r="E3" s="56">
        <f t="shared" si="1"/>
        <v>2.5403633141075695E-2</v>
      </c>
      <c r="F3" s="54">
        <f>COUNTIF(Data_Anomalies!$D$2:$D$81,A3)</f>
        <v>2</v>
      </c>
      <c r="G3" s="54">
        <f>SUMIF(Data_Anomalies!$D$2:$D$81,A3,Data_Anomalies!$I$2:$I$81)</f>
        <v>38217839.140000001</v>
      </c>
      <c r="H3" s="52" t="str">
        <f>IF(F3&gt;=Parameters!$B$3,"HIGH",IF(F3&gt;=Parameters!$B$4,"ELEVATED","LOW"))</f>
        <v>ELEVATED</v>
      </c>
      <c r="I3" s="57">
        <f t="shared" si="2"/>
        <v>5.3955902504449919E-2</v>
      </c>
      <c r="J3" s="54">
        <f>SUMIFS(Data_Anomalies!$I$2:$I$81,Data_Anomalies!$D$2:$D$81,$A3,Data_Anomalies!$C$2:$C$81,J$1)</f>
        <v>38213365</v>
      </c>
      <c r="K3" s="54">
        <f>SUMIFS(Data_Anomalies!$I$2:$I$81,Data_Anomalies!$D$2:$D$81,$A3,Data_Anomalies!$C$2:$C$81,K$1)</f>
        <v>0</v>
      </c>
      <c r="L3" s="54">
        <f>SUMIFS(Data_Anomalies!$I$2:$I$81,Data_Anomalies!$D$2:$D$81,$A3,Data_Anomalies!$C$2:$C$81,L$1)</f>
        <v>0</v>
      </c>
      <c r="M3" s="54">
        <f>SUMIFS(Data_Anomalies!$I$2:$I$81,Data_Anomalies!$D$2:$D$81,$A3,Data_Anomalies!$C$2:$C$81,M$1)</f>
        <v>0</v>
      </c>
      <c r="N3" s="54">
        <f>SUMIFS(Data_Anomalies!$I$2:$I$81,Data_Anomalies!$D$2:$D$81,$A3,Data_Anomalies!$C$2:$C$81,N$1)</f>
        <v>0</v>
      </c>
      <c r="O3" s="54">
        <f>SUMIFS(Data_Anomalies!$I$2:$I$81,Data_Anomalies!$D$2:$D$81,$A3,Data_Anomalies!$C$2:$C$81,O$1)</f>
        <v>4474.1400000000003</v>
      </c>
      <c r="P3" s="52" t="str">
        <f t="shared" si="3"/>
        <v>IT Hardware</v>
      </c>
    </row>
    <row r="4" spans="1:16" x14ac:dyDescent="0.25">
      <c r="A4" s="52" t="s">
        <v>155</v>
      </c>
      <c r="B4" s="54">
        <v>148038153</v>
      </c>
      <c r="C4" s="54">
        <v>1976</v>
      </c>
      <c r="D4" s="54">
        <f t="shared" si="0"/>
        <v>74918.093623481778</v>
      </c>
      <c r="E4" s="56">
        <f t="shared" si="1"/>
        <v>2.3514580577485157E-2</v>
      </c>
      <c r="F4" s="54">
        <f>COUNTIF(Data_Anomalies!$D$2:$D$81,A4)</f>
        <v>6</v>
      </c>
      <c r="G4" s="54">
        <f>SUMIF(Data_Anomalies!$D$2:$D$81,A4,Data_Anomalies!$I$2:$I$81)</f>
        <v>29146079.220000003</v>
      </c>
      <c r="H4" s="52" t="str">
        <f>IF(F4&gt;=Parameters!$B$3,"HIGH",IF(F4&gt;=Parameters!$B$4,"ELEVATED","LOW"))</f>
        <v>HIGH</v>
      </c>
      <c r="I4" s="57">
        <f t="shared" si="2"/>
        <v>7.7470483081935076E-2</v>
      </c>
      <c r="J4" s="54">
        <f>SUMIFS(Data_Anomalies!$I$2:$I$81,Data_Anomalies!$D$2:$D$81,$A4,Data_Anomalies!$C$2:$C$81,J$1)</f>
        <v>18230716</v>
      </c>
      <c r="K4" s="54">
        <f>SUMIFS(Data_Anomalies!$I$2:$I$81,Data_Anomalies!$D$2:$D$81,$A4,Data_Anomalies!$C$2:$C$81,K$1)</f>
        <v>10473010</v>
      </c>
      <c r="L4" s="54">
        <f>SUMIFS(Data_Anomalies!$I$2:$I$81,Data_Anomalies!$D$2:$D$81,$A4,Data_Anomalies!$C$2:$C$81,L$1)</f>
        <v>0</v>
      </c>
      <c r="M4" s="54">
        <f>SUMIFS(Data_Anomalies!$I$2:$I$81,Data_Anomalies!$D$2:$D$81,$A4,Data_Anomalies!$C$2:$C$81,M$1)</f>
        <v>27115.260000000002</v>
      </c>
      <c r="N4" s="54">
        <f>SUMIFS(Data_Anomalies!$I$2:$I$81,Data_Anomalies!$D$2:$D$81,$A4,Data_Anomalies!$C$2:$C$81,N$1)</f>
        <v>72661.960000000006</v>
      </c>
      <c r="O4" s="54">
        <f>SUMIFS(Data_Anomalies!$I$2:$I$81,Data_Anomalies!$D$2:$D$81,$A4,Data_Anomalies!$C$2:$C$81,O$1)</f>
        <v>342576</v>
      </c>
      <c r="P4" s="52" t="str">
        <f t="shared" si="3"/>
        <v>IT Hardware</v>
      </c>
    </row>
    <row r="5" spans="1:16" x14ac:dyDescent="0.25">
      <c r="A5" s="52" t="s">
        <v>149</v>
      </c>
      <c r="B5" s="54">
        <v>147786075</v>
      </c>
      <c r="C5" s="54">
        <v>2073</v>
      </c>
      <c r="D5" s="54">
        <f t="shared" si="0"/>
        <v>71290.918958031834</v>
      </c>
      <c r="E5" s="56">
        <f t="shared" si="1"/>
        <v>2.3474540166802574E-2</v>
      </c>
      <c r="F5" s="54">
        <f>COUNTIF(Data_Anomalies!$D$2:$D$81,A5)</f>
        <v>3</v>
      </c>
      <c r="G5" s="54">
        <f>SUMIF(Data_Anomalies!$D$2:$D$81,A5,Data_Anomalies!$I$2:$I$81)</f>
        <v>27107150</v>
      </c>
      <c r="H5" s="52" t="str">
        <f>IF(F5&gt;=Parameters!$B$3,"HIGH",IF(F5&gt;=Parameters!$B$4,"ELEVATED","LOW"))</f>
        <v>ELEVATED</v>
      </c>
      <c r="I5" s="57">
        <f t="shared" si="2"/>
        <v>0.10094502324873765</v>
      </c>
      <c r="J5" s="54">
        <f>SUMIFS(Data_Anomalies!$I$2:$I$81,Data_Anomalies!$D$2:$D$81,$A5,Data_Anomalies!$C$2:$C$81,J$1)</f>
        <v>22138050</v>
      </c>
      <c r="K5" s="54">
        <f>SUMIFS(Data_Anomalies!$I$2:$I$81,Data_Anomalies!$D$2:$D$81,$A5,Data_Anomalies!$C$2:$C$81,K$1)</f>
        <v>0</v>
      </c>
      <c r="L5" s="54">
        <f>SUMIFS(Data_Anomalies!$I$2:$I$81,Data_Anomalies!$D$2:$D$81,$A5,Data_Anomalies!$C$2:$C$81,L$1)</f>
        <v>3936899.9999999995</v>
      </c>
      <c r="M5" s="54">
        <f>SUMIFS(Data_Anomalies!$I$2:$I$81,Data_Anomalies!$D$2:$D$81,$A5,Data_Anomalies!$C$2:$C$81,M$1)</f>
        <v>0</v>
      </c>
      <c r="N5" s="54">
        <f>SUMIFS(Data_Anomalies!$I$2:$I$81,Data_Anomalies!$D$2:$D$81,$A5,Data_Anomalies!$C$2:$C$81,N$1)</f>
        <v>1032200</v>
      </c>
      <c r="O5" s="54">
        <f>SUMIFS(Data_Anomalies!$I$2:$I$81,Data_Anomalies!$D$2:$D$81,$A5,Data_Anomalies!$C$2:$C$81,O$1)</f>
        <v>0</v>
      </c>
      <c r="P5" s="52" t="str">
        <f t="shared" si="3"/>
        <v>IT Hardware</v>
      </c>
    </row>
    <row r="6" spans="1:16" x14ac:dyDescent="0.25">
      <c r="A6" s="52" t="s">
        <v>152</v>
      </c>
      <c r="B6" s="54">
        <v>143315737</v>
      </c>
      <c r="C6" s="54">
        <v>2012</v>
      </c>
      <c r="D6" s="54">
        <f t="shared" si="0"/>
        <v>71230.485586481111</v>
      </c>
      <c r="E6" s="56">
        <f t="shared" si="1"/>
        <v>2.2764465628723234E-2</v>
      </c>
      <c r="F6" s="54">
        <f>COUNTIF(Data_Anomalies!$D$2:$D$81,A6)</f>
        <v>3</v>
      </c>
      <c r="G6" s="54">
        <f>SUMIF(Data_Anomalies!$D$2:$D$81,A6,Data_Anomalies!$I$2:$I$81)</f>
        <v>19467355.870000001</v>
      </c>
      <c r="H6" s="52" t="str">
        <f>IF(F6&gt;=Parameters!$B$3,"HIGH",IF(F6&gt;=Parameters!$B$4,"ELEVATED","LOW"))</f>
        <v>ELEVATED</v>
      </c>
      <c r="I6" s="57">
        <f t="shared" si="2"/>
        <v>0.12370948887746089</v>
      </c>
      <c r="J6" s="54">
        <f>SUMIFS(Data_Anomalies!$I$2:$I$81,Data_Anomalies!$D$2:$D$81,$A6,Data_Anomalies!$C$2:$C$81,J$1)</f>
        <v>19353298.27</v>
      </c>
      <c r="K6" s="54">
        <f>SUMIFS(Data_Anomalies!$I$2:$I$81,Data_Anomalies!$D$2:$D$81,$A6,Data_Anomalies!$C$2:$C$81,K$1)</f>
        <v>0</v>
      </c>
      <c r="L6" s="54">
        <f>SUMIFS(Data_Anomalies!$I$2:$I$81,Data_Anomalies!$D$2:$D$81,$A6,Data_Anomalies!$C$2:$C$81,L$1)</f>
        <v>0</v>
      </c>
      <c r="M6" s="54">
        <f>SUMIFS(Data_Anomalies!$I$2:$I$81,Data_Anomalies!$D$2:$D$81,$A6,Data_Anomalies!$C$2:$C$81,M$1)</f>
        <v>0</v>
      </c>
      <c r="N6" s="54">
        <f>SUMIFS(Data_Anomalies!$I$2:$I$81,Data_Anomalies!$D$2:$D$81,$A6,Data_Anomalies!$C$2:$C$81,N$1)</f>
        <v>114057.60000000001</v>
      </c>
      <c r="O6" s="54">
        <f>SUMIFS(Data_Anomalies!$I$2:$I$81,Data_Anomalies!$D$2:$D$81,$A6,Data_Anomalies!$C$2:$C$81,O$1)</f>
        <v>0</v>
      </c>
      <c r="P6" s="52" t="str">
        <f t="shared" si="3"/>
        <v>IT Hardware</v>
      </c>
    </row>
    <row r="7" spans="1:16" x14ac:dyDescent="0.25">
      <c r="A7" s="52" t="s">
        <v>169</v>
      </c>
      <c r="B7" s="54">
        <v>135626018</v>
      </c>
      <c r="C7" s="54">
        <v>2019</v>
      </c>
      <c r="D7" s="54">
        <f t="shared" si="0"/>
        <v>67174.847944526991</v>
      </c>
      <c r="E7" s="56">
        <f t="shared" si="1"/>
        <v>2.1543020255490843E-2</v>
      </c>
      <c r="F7" s="54">
        <f>COUNTIF(Data_Anomalies!$D$2:$D$81,A7)</f>
        <v>2</v>
      </c>
      <c r="G7" s="54">
        <f>SUMIF(Data_Anomalies!$D$2:$D$81,A7,Data_Anomalies!$I$2:$I$81)</f>
        <v>6753752.4100000001</v>
      </c>
      <c r="H7" s="52" t="str">
        <f>IF(F7&gt;=Parameters!$B$3,"HIGH",IF(F7&gt;=Parameters!$B$4,"ELEVATED","LOW"))</f>
        <v>ELEVATED</v>
      </c>
      <c r="I7" s="57">
        <f t="shared" si="2"/>
        <v>0.14525250913295173</v>
      </c>
      <c r="J7" s="54">
        <f>SUMIFS(Data_Anomalies!$I$2:$I$81,Data_Anomalies!$D$2:$D$81,$A7,Data_Anomalies!$C$2:$C$81,J$1)</f>
        <v>0</v>
      </c>
      <c r="K7" s="54">
        <f>SUMIFS(Data_Anomalies!$I$2:$I$81,Data_Anomalies!$D$2:$D$81,$A7,Data_Anomalies!$C$2:$C$81,K$1)</f>
        <v>0</v>
      </c>
      <c r="L7" s="54">
        <f>SUMIFS(Data_Anomalies!$I$2:$I$81,Data_Anomalies!$D$2:$D$81,$A7,Data_Anomalies!$C$2:$C$81,L$1)</f>
        <v>6266218</v>
      </c>
      <c r="M7" s="54">
        <f>SUMIFS(Data_Anomalies!$I$2:$I$81,Data_Anomalies!$D$2:$D$81,$A7,Data_Anomalies!$C$2:$C$81,M$1)</f>
        <v>487534.41000000003</v>
      </c>
      <c r="N7" s="54">
        <f>SUMIFS(Data_Anomalies!$I$2:$I$81,Data_Anomalies!$D$2:$D$81,$A7,Data_Anomalies!$C$2:$C$81,N$1)</f>
        <v>0</v>
      </c>
      <c r="O7" s="54">
        <f>SUMIFS(Data_Anomalies!$I$2:$I$81,Data_Anomalies!$D$2:$D$81,$A7,Data_Anomalies!$C$2:$C$81,O$1)</f>
        <v>0</v>
      </c>
      <c r="P7" s="52" t="str">
        <f t="shared" si="3"/>
        <v>Media &amp; Energy</v>
      </c>
    </row>
    <row r="8" spans="1:16" x14ac:dyDescent="0.25">
      <c r="A8" s="52" t="s">
        <v>183</v>
      </c>
      <c r="B8" s="54">
        <v>133400177</v>
      </c>
      <c r="C8" s="54">
        <v>2084</v>
      </c>
      <c r="D8" s="54">
        <f t="shared" si="0"/>
        <v>64011.601247600767</v>
      </c>
      <c r="E8" s="56">
        <f t="shared" si="1"/>
        <v>2.1189464658595697E-2</v>
      </c>
      <c r="F8" s="54">
        <f>COUNTIF(Data_Anomalies!$D$2:$D$81,A8)</f>
        <v>2</v>
      </c>
      <c r="G8" s="54">
        <f>SUMIF(Data_Anomalies!$D$2:$D$81,A8,Data_Anomalies!$I$2:$I$81)</f>
        <v>3332472.88</v>
      </c>
      <c r="H8" s="52" t="str">
        <f>IF(F8&gt;=Parameters!$B$3,"HIGH",IF(F8&gt;=Parameters!$B$4,"ELEVATED","LOW"))</f>
        <v>ELEVATED</v>
      </c>
      <c r="I8" s="57">
        <f t="shared" si="2"/>
        <v>0.16644197379154743</v>
      </c>
      <c r="J8" s="54">
        <f>SUMIFS(Data_Anomalies!$I$2:$I$81,Data_Anomalies!$D$2:$D$81,$A8,Data_Anomalies!$C$2:$C$81,J$1)</f>
        <v>2793813.88</v>
      </c>
      <c r="K8" s="54">
        <f>SUMIFS(Data_Anomalies!$I$2:$I$81,Data_Anomalies!$D$2:$D$81,$A8,Data_Anomalies!$C$2:$C$81,K$1)</f>
        <v>0</v>
      </c>
      <c r="L8" s="54">
        <f>SUMIFS(Data_Anomalies!$I$2:$I$81,Data_Anomalies!$D$2:$D$81,$A8,Data_Anomalies!$C$2:$C$81,L$1)</f>
        <v>0</v>
      </c>
      <c r="M8" s="54">
        <f>SUMIFS(Data_Anomalies!$I$2:$I$81,Data_Anomalies!$D$2:$D$81,$A8,Data_Anomalies!$C$2:$C$81,M$1)</f>
        <v>0</v>
      </c>
      <c r="N8" s="54">
        <f>SUMIFS(Data_Anomalies!$I$2:$I$81,Data_Anomalies!$D$2:$D$81,$A8,Data_Anomalies!$C$2:$C$81,N$1)</f>
        <v>0</v>
      </c>
      <c r="O8" s="54">
        <f>SUMIFS(Data_Anomalies!$I$2:$I$81,Data_Anomalies!$D$2:$D$81,$A8,Data_Anomalies!$C$2:$C$81,O$1)</f>
        <v>538659</v>
      </c>
      <c r="P8" s="52" t="str">
        <f t="shared" si="3"/>
        <v>IT Hardware</v>
      </c>
    </row>
    <row r="9" spans="1:16" x14ac:dyDescent="0.25">
      <c r="A9" s="52" t="s">
        <v>188</v>
      </c>
      <c r="B9" s="54">
        <v>131412367</v>
      </c>
      <c r="C9" s="54">
        <v>2016</v>
      </c>
      <c r="D9" s="54">
        <f t="shared" si="0"/>
        <v>65184.705853174601</v>
      </c>
      <c r="E9" s="56">
        <f t="shared" si="1"/>
        <v>2.087371822789191E-2</v>
      </c>
      <c r="F9" s="54">
        <f>COUNTIF(Data_Anomalies!$D$2:$D$81,A9)</f>
        <v>2</v>
      </c>
      <c r="G9" s="54">
        <f>SUMIF(Data_Anomalies!$D$2:$D$81,A9,Data_Anomalies!$I$2:$I$81)</f>
        <v>2322271.5</v>
      </c>
      <c r="H9" s="52" t="str">
        <f>IF(F9&gt;=Parameters!$B$3,"HIGH",IF(F9&gt;=Parameters!$B$4,"ELEVATED","LOW"))</f>
        <v>ELEVATED</v>
      </c>
      <c r="I9" s="57">
        <f t="shared" si="2"/>
        <v>0.18731569201943934</v>
      </c>
      <c r="J9" s="54">
        <f>SUMIFS(Data_Anomalies!$I$2:$I$81,Data_Anomalies!$D$2:$D$81,$A9,Data_Anomalies!$C$2:$C$81,J$1)</f>
        <v>0</v>
      </c>
      <c r="K9" s="54">
        <f>SUMIFS(Data_Anomalies!$I$2:$I$81,Data_Anomalies!$D$2:$D$81,$A9,Data_Anomalies!$C$2:$C$81,K$1)</f>
        <v>2120602.5</v>
      </c>
      <c r="L9" s="54">
        <f>SUMIFS(Data_Anomalies!$I$2:$I$81,Data_Anomalies!$D$2:$D$81,$A9,Data_Anomalies!$C$2:$C$81,L$1)</f>
        <v>0</v>
      </c>
      <c r="M9" s="54">
        <f>SUMIFS(Data_Anomalies!$I$2:$I$81,Data_Anomalies!$D$2:$D$81,$A9,Data_Anomalies!$C$2:$C$81,M$1)</f>
        <v>0</v>
      </c>
      <c r="N9" s="54">
        <f>SUMIFS(Data_Anomalies!$I$2:$I$81,Data_Anomalies!$D$2:$D$81,$A9,Data_Anomalies!$C$2:$C$81,N$1)</f>
        <v>0</v>
      </c>
      <c r="O9" s="54">
        <f>SUMIFS(Data_Anomalies!$I$2:$I$81,Data_Anomalies!$D$2:$D$81,$A9,Data_Anomalies!$C$2:$C$81,O$1)</f>
        <v>201669</v>
      </c>
      <c r="P9" s="52" t="str">
        <f t="shared" si="3"/>
        <v>Marketing Services</v>
      </c>
    </row>
    <row r="10" spans="1:16" x14ac:dyDescent="0.25">
      <c r="A10" s="52" t="s">
        <v>286</v>
      </c>
      <c r="B10" s="54">
        <v>131264849</v>
      </c>
      <c r="C10" s="54">
        <v>2053</v>
      </c>
      <c r="D10" s="54">
        <f t="shared" si="0"/>
        <v>63938.06575742815</v>
      </c>
      <c r="E10" s="56">
        <f t="shared" si="1"/>
        <v>2.0850286269120923E-2</v>
      </c>
      <c r="F10" s="54">
        <f>COUNTIF(Data_Anomalies!$D$2:$D$81,A10)</f>
        <v>0</v>
      </c>
      <c r="G10" s="54">
        <f>SUMIF(Data_Anomalies!$D$2:$D$81,A10,Data_Anomalies!$I$2:$I$81)</f>
        <v>0</v>
      </c>
      <c r="H10" s="52" t="str">
        <f>IF(F10&gt;=Parameters!$B$3,"HIGH",IF(F10&gt;=Parameters!$B$4,"ELEVATED","LOW"))</f>
        <v>LOW</v>
      </c>
      <c r="I10" s="57">
        <f t="shared" si="2"/>
        <v>0.20816597828856026</v>
      </c>
      <c r="J10" s="54">
        <f>SUMIFS(Data_Anomalies!$I$2:$I$81,Data_Anomalies!$D$2:$D$81,$A10,Data_Anomalies!$C$2:$C$81,J$1)</f>
        <v>0</v>
      </c>
      <c r="K10" s="54">
        <f>SUMIFS(Data_Anomalies!$I$2:$I$81,Data_Anomalies!$D$2:$D$81,$A10,Data_Anomalies!$C$2:$C$81,K$1)</f>
        <v>0</v>
      </c>
      <c r="L10" s="54">
        <f>SUMIFS(Data_Anomalies!$I$2:$I$81,Data_Anomalies!$D$2:$D$81,$A10,Data_Anomalies!$C$2:$C$81,L$1)</f>
        <v>0</v>
      </c>
      <c r="M10" s="54">
        <f>SUMIFS(Data_Anomalies!$I$2:$I$81,Data_Anomalies!$D$2:$D$81,$A10,Data_Anomalies!$C$2:$C$81,M$1)</f>
        <v>0</v>
      </c>
      <c r="N10" s="54">
        <f>SUMIFS(Data_Anomalies!$I$2:$I$81,Data_Anomalies!$D$2:$D$81,$A10,Data_Anomalies!$C$2:$C$81,N$1)</f>
        <v>0</v>
      </c>
      <c r="O10" s="54">
        <f>SUMIFS(Data_Anomalies!$I$2:$I$81,Data_Anomalies!$D$2:$D$81,$A10,Data_Anomalies!$C$2:$C$81,O$1)</f>
        <v>0</v>
      </c>
      <c r="P10" s="52" t="str">
        <f t="shared" si="3"/>
        <v>—</v>
      </c>
    </row>
    <row r="11" spans="1:16" x14ac:dyDescent="0.25">
      <c r="A11" s="52" t="s">
        <v>186</v>
      </c>
      <c r="B11" s="54">
        <v>130938159</v>
      </c>
      <c r="C11" s="54">
        <v>2014</v>
      </c>
      <c r="D11" s="54">
        <f t="shared" si="0"/>
        <v>65013.981628599802</v>
      </c>
      <c r="E11" s="56">
        <f t="shared" si="1"/>
        <v>2.0798394387378391E-2</v>
      </c>
      <c r="F11" s="54">
        <f>COUNTIF(Data_Anomalies!$D$2:$D$81,A11)</f>
        <v>2</v>
      </c>
      <c r="G11" s="54">
        <f>SUMIF(Data_Anomalies!$D$2:$D$81,A11,Data_Anomalies!$I$2:$I$81)</f>
        <v>2185128.7000000002</v>
      </c>
      <c r="H11" s="52" t="str">
        <f>IF(F11&gt;=Parameters!$B$3,"HIGH",IF(F11&gt;=Parameters!$B$4,"ELEVATED","LOW"))</f>
        <v>ELEVATED</v>
      </c>
      <c r="I11" s="57">
        <f t="shared" si="2"/>
        <v>0.22896437267593864</v>
      </c>
      <c r="J11" s="54">
        <f>SUMIFS(Data_Anomalies!$I$2:$I$81,Data_Anomalies!$D$2:$D$81,$A11,Data_Anomalies!$C$2:$C$81,J$1)</f>
        <v>0</v>
      </c>
      <c r="K11" s="54">
        <f>SUMIFS(Data_Anomalies!$I$2:$I$81,Data_Anomalies!$D$2:$D$81,$A11,Data_Anomalies!$C$2:$C$81,K$1)</f>
        <v>0</v>
      </c>
      <c r="L11" s="54">
        <f>SUMIFS(Data_Anomalies!$I$2:$I$81,Data_Anomalies!$D$2:$D$81,$A11,Data_Anomalies!$C$2:$C$81,L$1)</f>
        <v>0</v>
      </c>
      <c r="M11" s="54">
        <f>SUMIFS(Data_Anomalies!$I$2:$I$81,Data_Anomalies!$D$2:$D$81,$A11,Data_Anomalies!$C$2:$C$81,M$1)</f>
        <v>2153228</v>
      </c>
      <c r="N11" s="54">
        <f>SUMIFS(Data_Anomalies!$I$2:$I$81,Data_Anomalies!$D$2:$D$81,$A11,Data_Anomalies!$C$2:$C$81,N$1)</f>
        <v>0</v>
      </c>
      <c r="O11" s="54">
        <f>SUMIFS(Data_Anomalies!$I$2:$I$81,Data_Anomalies!$D$2:$D$81,$A11,Data_Anomalies!$C$2:$C$81,O$1)</f>
        <v>31900.699999999997</v>
      </c>
      <c r="P11" s="52" t="str">
        <f t="shared" si="3"/>
        <v>Logistics</v>
      </c>
    </row>
    <row r="12" spans="1:16" x14ac:dyDescent="0.25">
      <c r="A12" s="52" t="s">
        <v>287</v>
      </c>
      <c r="B12" s="54">
        <v>129965840</v>
      </c>
      <c r="C12" s="54">
        <v>2078</v>
      </c>
      <c r="D12" s="54">
        <f t="shared" si="0"/>
        <v>62543.715110683348</v>
      </c>
      <c r="E12" s="56">
        <f t="shared" si="1"/>
        <v>2.0643949921481011E-2</v>
      </c>
      <c r="F12" s="54">
        <f>COUNTIF(Data_Anomalies!$D$2:$D$81,A12)</f>
        <v>0</v>
      </c>
      <c r="G12" s="54">
        <f>SUMIF(Data_Anomalies!$D$2:$D$81,A12,Data_Anomalies!$I$2:$I$81)</f>
        <v>0</v>
      </c>
      <c r="H12" s="52" t="str">
        <f>IF(F12&gt;=Parameters!$B$3,"HIGH",IF(F12&gt;=Parameters!$B$4,"ELEVATED","LOW"))</f>
        <v>LOW</v>
      </c>
      <c r="I12" s="57">
        <f t="shared" si="2"/>
        <v>0.24960832259741966</v>
      </c>
      <c r="J12" s="54">
        <f>SUMIFS(Data_Anomalies!$I$2:$I$81,Data_Anomalies!$D$2:$D$81,$A12,Data_Anomalies!$C$2:$C$81,J$1)</f>
        <v>0</v>
      </c>
      <c r="K12" s="54">
        <f>SUMIFS(Data_Anomalies!$I$2:$I$81,Data_Anomalies!$D$2:$D$81,$A12,Data_Anomalies!$C$2:$C$81,K$1)</f>
        <v>0</v>
      </c>
      <c r="L12" s="54">
        <f>SUMIFS(Data_Anomalies!$I$2:$I$81,Data_Anomalies!$D$2:$D$81,$A12,Data_Anomalies!$C$2:$C$81,L$1)</f>
        <v>0</v>
      </c>
      <c r="M12" s="54">
        <f>SUMIFS(Data_Anomalies!$I$2:$I$81,Data_Anomalies!$D$2:$D$81,$A12,Data_Anomalies!$C$2:$C$81,M$1)</f>
        <v>0</v>
      </c>
      <c r="N12" s="54">
        <f>SUMIFS(Data_Anomalies!$I$2:$I$81,Data_Anomalies!$D$2:$D$81,$A12,Data_Anomalies!$C$2:$C$81,N$1)</f>
        <v>0</v>
      </c>
      <c r="O12" s="54">
        <f>SUMIFS(Data_Anomalies!$I$2:$I$81,Data_Anomalies!$D$2:$D$81,$A12,Data_Anomalies!$C$2:$C$81,O$1)</f>
        <v>0</v>
      </c>
      <c r="P12" s="52" t="str">
        <f t="shared" si="3"/>
        <v>—</v>
      </c>
    </row>
    <row r="13" spans="1:16" x14ac:dyDescent="0.25">
      <c r="A13" s="52" t="s">
        <v>173</v>
      </c>
      <c r="B13" s="54">
        <v>129040275</v>
      </c>
      <c r="C13" s="54">
        <v>2018</v>
      </c>
      <c r="D13" s="54">
        <f t="shared" si="0"/>
        <v>63944.635777998017</v>
      </c>
      <c r="E13" s="56">
        <f t="shared" si="1"/>
        <v>2.0496931924220533E-2</v>
      </c>
      <c r="F13" s="54">
        <f>COUNTIF(Data_Anomalies!$D$2:$D$81,A13)</f>
        <v>5</v>
      </c>
      <c r="G13" s="54">
        <f>SUMIF(Data_Anomalies!$D$2:$D$81,A13,Data_Anomalies!$I$2:$I$81)</f>
        <v>8209156.7599999998</v>
      </c>
      <c r="H13" s="52" t="str">
        <f>IF(F13&gt;=Parameters!$B$3,"HIGH",IF(F13&gt;=Parameters!$B$4,"ELEVATED","LOW"))</f>
        <v>HIGH</v>
      </c>
      <c r="I13" s="57">
        <f t="shared" si="2"/>
        <v>0.27010525452164019</v>
      </c>
      <c r="J13" s="54">
        <f>SUMIFS(Data_Anomalies!$I$2:$I$81,Data_Anomalies!$D$2:$D$81,$A13,Data_Anomalies!$C$2:$C$81,J$1)</f>
        <v>0</v>
      </c>
      <c r="K13" s="54">
        <f>SUMIFS(Data_Anomalies!$I$2:$I$81,Data_Anomalies!$D$2:$D$81,$A13,Data_Anomalies!$C$2:$C$81,K$1)</f>
        <v>5989722.6600000001</v>
      </c>
      <c r="L13" s="54">
        <f>SUMIFS(Data_Anomalies!$I$2:$I$81,Data_Anomalies!$D$2:$D$81,$A13,Data_Anomalies!$C$2:$C$81,L$1)</f>
        <v>0</v>
      </c>
      <c r="M13" s="54">
        <f>SUMIFS(Data_Anomalies!$I$2:$I$81,Data_Anomalies!$D$2:$D$81,$A13,Data_Anomalies!$C$2:$C$81,M$1)</f>
        <v>115588.1</v>
      </c>
      <c r="N13" s="54">
        <f>SUMIFS(Data_Anomalies!$I$2:$I$81,Data_Anomalies!$D$2:$D$81,$A13,Data_Anomalies!$C$2:$C$81,N$1)</f>
        <v>2103846</v>
      </c>
      <c r="O13" s="54">
        <f>SUMIFS(Data_Anomalies!$I$2:$I$81,Data_Anomalies!$D$2:$D$81,$A13,Data_Anomalies!$C$2:$C$81,O$1)</f>
        <v>0</v>
      </c>
      <c r="P13" s="52" t="str">
        <f t="shared" si="3"/>
        <v>Marketing Services</v>
      </c>
    </row>
    <row r="14" spans="1:16" x14ac:dyDescent="0.25">
      <c r="A14" s="52" t="s">
        <v>160</v>
      </c>
      <c r="B14" s="54">
        <v>128678298</v>
      </c>
      <c r="C14" s="54">
        <v>2028</v>
      </c>
      <c r="D14" s="54">
        <f t="shared" si="0"/>
        <v>63450.837278106512</v>
      </c>
      <c r="E14" s="56">
        <f t="shared" si="1"/>
        <v>2.0439435007640547E-2</v>
      </c>
      <c r="F14" s="54">
        <f>COUNTIF(Data_Anomalies!$D$2:$D$81,A14)</f>
        <v>1</v>
      </c>
      <c r="G14" s="54">
        <f>SUMIF(Data_Anomalies!$D$2:$D$81,A14,Data_Anomalies!$I$2:$I$81)</f>
        <v>10014222</v>
      </c>
      <c r="H14" s="52" t="str">
        <f>IF(F14&gt;=Parameters!$B$3,"HIGH",IF(F14&gt;=Parameters!$B$4,"ELEVATED","LOW"))</f>
        <v>LOW</v>
      </c>
      <c r="I14" s="57">
        <f t="shared" si="2"/>
        <v>0.29054468952928075</v>
      </c>
      <c r="J14" s="54">
        <f>SUMIFS(Data_Anomalies!$I$2:$I$81,Data_Anomalies!$D$2:$D$81,$A14,Data_Anomalies!$C$2:$C$81,J$1)</f>
        <v>0</v>
      </c>
      <c r="K14" s="54">
        <f>SUMIFS(Data_Anomalies!$I$2:$I$81,Data_Anomalies!$D$2:$D$81,$A14,Data_Anomalies!$C$2:$C$81,K$1)</f>
        <v>10014222</v>
      </c>
      <c r="L14" s="54">
        <f>SUMIFS(Data_Anomalies!$I$2:$I$81,Data_Anomalies!$D$2:$D$81,$A14,Data_Anomalies!$C$2:$C$81,L$1)</f>
        <v>0</v>
      </c>
      <c r="M14" s="54">
        <f>SUMIFS(Data_Anomalies!$I$2:$I$81,Data_Anomalies!$D$2:$D$81,$A14,Data_Anomalies!$C$2:$C$81,M$1)</f>
        <v>0</v>
      </c>
      <c r="N14" s="54">
        <f>SUMIFS(Data_Anomalies!$I$2:$I$81,Data_Anomalies!$D$2:$D$81,$A14,Data_Anomalies!$C$2:$C$81,N$1)</f>
        <v>0</v>
      </c>
      <c r="O14" s="54">
        <f>SUMIFS(Data_Anomalies!$I$2:$I$81,Data_Anomalies!$D$2:$D$81,$A14,Data_Anomalies!$C$2:$C$81,O$1)</f>
        <v>0</v>
      </c>
      <c r="P14" s="52" t="str">
        <f t="shared" si="3"/>
        <v>Marketing Services</v>
      </c>
    </row>
    <row r="15" spans="1:16" x14ac:dyDescent="0.25">
      <c r="A15" s="52" t="s">
        <v>220</v>
      </c>
      <c r="B15" s="54">
        <v>128494881</v>
      </c>
      <c r="C15" s="54">
        <v>2027</v>
      </c>
      <c r="D15" s="54">
        <f t="shared" si="0"/>
        <v>63391.653182042428</v>
      </c>
      <c r="E15" s="56">
        <f t="shared" si="1"/>
        <v>2.041030080312382E-2</v>
      </c>
      <c r="F15" s="54">
        <f>COUNTIF(Data_Anomalies!$D$2:$D$81,A15)</f>
        <v>2</v>
      </c>
      <c r="G15" s="54">
        <f>SUMIF(Data_Anomalies!$D$2:$D$81,A15,Data_Anomalies!$I$2:$I$81)</f>
        <v>465874.16</v>
      </c>
      <c r="H15" s="52" t="str">
        <f>IF(F15&gt;=Parameters!$B$3,"HIGH",IF(F15&gt;=Parameters!$B$4,"ELEVATED","LOW"))</f>
        <v>ELEVATED</v>
      </c>
      <c r="I15" s="57">
        <f t="shared" si="2"/>
        <v>0.31095499033240454</v>
      </c>
      <c r="J15" s="54">
        <f>SUMIFS(Data_Anomalies!$I$2:$I$81,Data_Anomalies!$D$2:$D$81,$A15,Data_Anomalies!$C$2:$C$81,J$1)</f>
        <v>0</v>
      </c>
      <c r="K15" s="54">
        <f>SUMIFS(Data_Anomalies!$I$2:$I$81,Data_Anomalies!$D$2:$D$81,$A15,Data_Anomalies!$C$2:$C$81,K$1)</f>
        <v>0</v>
      </c>
      <c r="L15" s="54">
        <f>SUMIFS(Data_Anomalies!$I$2:$I$81,Data_Anomalies!$D$2:$D$81,$A15,Data_Anomalies!$C$2:$C$81,L$1)</f>
        <v>0</v>
      </c>
      <c r="M15" s="54">
        <f>SUMIFS(Data_Anomalies!$I$2:$I$81,Data_Anomalies!$D$2:$D$81,$A15,Data_Anomalies!$C$2:$C$81,M$1)</f>
        <v>419540</v>
      </c>
      <c r="N15" s="54">
        <f>SUMIFS(Data_Anomalies!$I$2:$I$81,Data_Anomalies!$D$2:$D$81,$A15,Data_Anomalies!$C$2:$C$81,N$1)</f>
        <v>0</v>
      </c>
      <c r="O15" s="54">
        <f>SUMIFS(Data_Anomalies!$I$2:$I$81,Data_Anomalies!$D$2:$D$81,$A15,Data_Anomalies!$C$2:$C$81,O$1)</f>
        <v>46334.159999999996</v>
      </c>
      <c r="P15" s="52" t="str">
        <f t="shared" si="3"/>
        <v>Logistics</v>
      </c>
    </row>
    <row r="16" spans="1:16" x14ac:dyDescent="0.25">
      <c r="A16" s="52" t="s">
        <v>165</v>
      </c>
      <c r="B16" s="54">
        <v>127943608</v>
      </c>
      <c r="C16" s="54">
        <v>1922</v>
      </c>
      <c r="D16" s="54">
        <f t="shared" si="0"/>
        <v>66567.954214360041</v>
      </c>
      <c r="E16" s="56">
        <f t="shared" si="1"/>
        <v>2.0322735853710461E-2</v>
      </c>
      <c r="F16" s="54">
        <f>COUNTIF(Data_Anomalies!$D$2:$D$81,A16)</f>
        <v>3</v>
      </c>
      <c r="G16" s="54">
        <f>SUMIF(Data_Anomalies!$D$2:$D$81,A16,Data_Anomalies!$I$2:$I$81)</f>
        <v>7215846.25</v>
      </c>
      <c r="H16" s="52" t="str">
        <f>IF(F16&gt;=Parameters!$B$3,"HIGH",IF(F16&gt;=Parameters!$B$4,"ELEVATED","LOW"))</f>
        <v>ELEVATED</v>
      </c>
      <c r="I16" s="57">
        <f t="shared" si="2"/>
        <v>0.33127772618611501</v>
      </c>
      <c r="J16" s="54">
        <f>SUMIFS(Data_Anomalies!$I$2:$I$81,Data_Anomalies!$D$2:$D$81,$A16,Data_Anomalies!$C$2:$C$81,J$1)</f>
        <v>0</v>
      </c>
      <c r="K16" s="54">
        <f>SUMIFS(Data_Anomalies!$I$2:$I$81,Data_Anomalies!$D$2:$D$81,$A16,Data_Anomalies!$C$2:$C$81,K$1)</f>
        <v>6643636</v>
      </c>
      <c r="L16" s="54">
        <f>SUMIFS(Data_Anomalies!$I$2:$I$81,Data_Anomalies!$D$2:$D$81,$A16,Data_Anomalies!$C$2:$C$81,L$1)</f>
        <v>0</v>
      </c>
      <c r="M16" s="54">
        <f>SUMIFS(Data_Anomalies!$I$2:$I$81,Data_Anomalies!$D$2:$D$81,$A16,Data_Anomalies!$C$2:$C$81,M$1)</f>
        <v>0</v>
      </c>
      <c r="N16" s="54">
        <f>SUMIFS(Data_Anomalies!$I$2:$I$81,Data_Anomalies!$D$2:$D$81,$A16,Data_Anomalies!$C$2:$C$81,N$1)</f>
        <v>572210.25</v>
      </c>
      <c r="O16" s="54">
        <f>SUMIFS(Data_Anomalies!$I$2:$I$81,Data_Anomalies!$D$2:$D$81,$A16,Data_Anomalies!$C$2:$C$81,O$1)</f>
        <v>0</v>
      </c>
      <c r="P16" s="52" t="str">
        <f t="shared" si="3"/>
        <v>Marketing Services</v>
      </c>
    </row>
    <row r="17" spans="1:16" x14ac:dyDescent="0.25">
      <c r="A17" s="52" t="s">
        <v>163</v>
      </c>
      <c r="B17" s="54">
        <v>127833142</v>
      </c>
      <c r="C17" s="54">
        <v>2015</v>
      </c>
      <c r="D17" s="54">
        <f t="shared" si="0"/>
        <v>63440.765260545908</v>
      </c>
      <c r="E17" s="56">
        <f t="shared" si="1"/>
        <v>2.0305189284765681E-2</v>
      </c>
      <c r="F17" s="54">
        <f>COUNTIF(Data_Anomalies!$D$2:$D$81,A17)</f>
        <v>1</v>
      </c>
      <c r="G17" s="54">
        <f>SUMIF(Data_Anomalies!$D$2:$D$81,A17,Data_Anomalies!$I$2:$I$81)</f>
        <v>8012495</v>
      </c>
      <c r="H17" s="52" t="str">
        <f>IF(F17&gt;=Parameters!$B$3,"HIGH",IF(F17&gt;=Parameters!$B$4,"ELEVATED","LOW"))</f>
        <v>LOW</v>
      </c>
      <c r="I17" s="57">
        <f t="shared" si="2"/>
        <v>0.35158291547088072</v>
      </c>
      <c r="J17" s="54">
        <f>SUMIFS(Data_Anomalies!$I$2:$I$81,Data_Anomalies!$D$2:$D$81,$A17,Data_Anomalies!$C$2:$C$81,J$1)</f>
        <v>0</v>
      </c>
      <c r="K17" s="54">
        <f>SUMIFS(Data_Anomalies!$I$2:$I$81,Data_Anomalies!$D$2:$D$81,$A17,Data_Anomalies!$C$2:$C$81,K$1)</f>
        <v>8012495</v>
      </c>
      <c r="L17" s="54">
        <f>SUMIFS(Data_Anomalies!$I$2:$I$81,Data_Anomalies!$D$2:$D$81,$A17,Data_Anomalies!$C$2:$C$81,L$1)</f>
        <v>0</v>
      </c>
      <c r="M17" s="54">
        <f>SUMIFS(Data_Anomalies!$I$2:$I$81,Data_Anomalies!$D$2:$D$81,$A17,Data_Anomalies!$C$2:$C$81,M$1)</f>
        <v>0</v>
      </c>
      <c r="N17" s="54">
        <f>SUMIFS(Data_Anomalies!$I$2:$I$81,Data_Anomalies!$D$2:$D$81,$A17,Data_Anomalies!$C$2:$C$81,N$1)</f>
        <v>0</v>
      </c>
      <c r="O17" s="54">
        <f>SUMIFS(Data_Anomalies!$I$2:$I$81,Data_Anomalies!$D$2:$D$81,$A17,Data_Anomalies!$C$2:$C$81,O$1)</f>
        <v>0</v>
      </c>
      <c r="P17" s="52" t="str">
        <f t="shared" si="3"/>
        <v>Marketing Services</v>
      </c>
    </row>
    <row r="18" spans="1:16" x14ac:dyDescent="0.25">
      <c r="A18" s="52" t="s">
        <v>213</v>
      </c>
      <c r="B18" s="54">
        <v>127570179</v>
      </c>
      <c r="C18" s="54">
        <v>2035</v>
      </c>
      <c r="D18" s="54">
        <f t="shared" si="0"/>
        <v>62688.048648648648</v>
      </c>
      <c r="E18" s="56">
        <f t="shared" si="1"/>
        <v>2.0263419885951327E-2</v>
      </c>
      <c r="F18" s="54">
        <f>COUNTIF(Data_Anomalies!$D$2:$D$81,A18)</f>
        <v>2</v>
      </c>
      <c r="G18" s="54">
        <f>SUMIF(Data_Anomalies!$D$2:$D$81,A18,Data_Anomalies!$I$2:$I$81)</f>
        <v>979185.44000000018</v>
      </c>
      <c r="H18" s="52" t="str">
        <f>IF(F18&gt;=Parameters!$B$3,"HIGH",IF(F18&gt;=Parameters!$B$4,"ELEVATED","LOW"))</f>
        <v>ELEVATED</v>
      </c>
      <c r="I18" s="57">
        <f t="shared" si="2"/>
        <v>0.37184633535683204</v>
      </c>
      <c r="J18" s="54">
        <f>SUMIFS(Data_Anomalies!$I$2:$I$81,Data_Anomalies!$D$2:$D$81,$A18,Data_Anomalies!$C$2:$C$81,J$1)</f>
        <v>0</v>
      </c>
      <c r="K18" s="54">
        <f>SUMIFS(Data_Anomalies!$I$2:$I$81,Data_Anomalies!$D$2:$D$81,$A18,Data_Anomalies!$C$2:$C$81,K$1)</f>
        <v>509252.00000000006</v>
      </c>
      <c r="L18" s="54">
        <f>SUMIFS(Data_Anomalies!$I$2:$I$81,Data_Anomalies!$D$2:$D$81,$A18,Data_Anomalies!$C$2:$C$81,L$1)</f>
        <v>0</v>
      </c>
      <c r="M18" s="54">
        <f>SUMIFS(Data_Anomalies!$I$2:$I$81,Data_Anomalies!$D$2:$D$81,$A18,Data_Anomalies!$C$2:$C$81,M$1)</f>
        <v>469933.44000000006</v>
      </c>
      <c r="N18" s="54">
        <f>SUMIFS(Data_Anomalies!$I$2:$I$81,Data_Anomalies!$D$2:$D$81,$A18,Data_Anomalies!$C$2:$C$81,N$1)</f>
        <v>0</v>
      </c>
      <c r="O18" s="54">
        <f>SUMIFS(Data_Anomalies!$I$2:$I$81,Data_Anomalies!$D$2:$D$81,$A18,Data_Anomalies!$C$2:$C$81,O$1)</f>
        <v>0</v>
      </c>
      <c r="P18" s="52" t="str">
        <f t="shared" si="3"/>
        <v>Marketing Services</v>
      </c>
    </row>
    <row r="19" spans="1:16" x14ac:dyDescent="0.25">
      <c r="A19" s="52" t="s">
        <v>288</v>
      </c>
      <c r="B19" s="54">
        <v>127229849</v>
      </c>
      <c r="C19" s="54">
        <v>2060</v>
      </c>
      <c r="D19" s="54">
        <f t="shared" si="0"/>
        <v>61762.062621359226</v>
      </c>
      <c r="E19" s="56">
        <f t="shared" si="1"/>
        <v>2.020936140814841E-2</v>
      </c>
      <c r="F19" s="54">
        <f>COUNTIF(Data_Anomalies!$D$2:$D$81,A19)</f>
        <v>0</v>
      </c>
      <c r="G19" s="54">
        <f>SUMIF(Data_Anomalies!$D$2:$D$81,A19,Data_Anomalies!$I$2:$I$81)</f>
        <v>0</v>
      </c>
      <c r="H19" s="52" t="str">
        <f>IF(F19&gt;=Parameters!$B$3,"HIGH",IF(F19&gt;=Parameters!$B$4,"ELEVATED","LOW"))</f>
        <v>LOW</v>
      </c>
      <c r="I19" s="57">
        <f t="shared" si="2"/>
        <v>0.39205569676498042</v>
      </c>
      <c r="J19" s="54">
        <f>SUMIFS(Data_Anomalies!$I$2:$I$81,Data_Anomalies!$D$2:$D$81,$A19,Data_Anomalies!$C$2:$C$81,J$1)</f>
        <v>0</v>
      </c>
      <c r="K19" s="54">
        <f>SUMIFS(Data_Anomalies!$I$2:$I$81,Data_Anomalies!$D$2:$D$81,$A19,Data_Anomalies!$C$2:$C$81,K$1)</f>
        <v>0</v>
      </c>
      <c r="L19" s="54">
        <f>SUMIFS(Data_Anomalies!$I$2:$I$81,Data_Anomalies!$D$2:$D$81,$A19,Data_Anomalies!$C$2:$C$81,L$1)</f>
        <v>0</v>
      </c>
      <c r="M19" s="54">
        <f>SUMIFS(Data_Anomalies!$I$2:$I$81,Data_Anomalies!$D$2:$D$81,$A19,Data_Anomalies!$C$2:$C$81,M$1)</f>
        <v>0</v>
      </c>
      <c r="N19" s="54">
        <f>SUMIFS(Data_Anomalies!$I$2:$I$81,Data_Anomalies!$D$2:$D$81,$A19,Data_Anomalies!$C$2:$C$81,N$1)</f>
        <v>0</v>
      </c>
      <c r="O19" s="54">
        <f>SUMIFS(Data_Anomalies!$I$2:$I$81,Data_Anomalies!$D$2:$D$81,$A19,Data_Anomalies!$C$2:$C$81,O$1)</f>
        <v>0</v>
      </c>
      <c r="P19" s="52" t="str">
        <f t="shared" si="3"/>
        <v>—</v>
      </c>
    </row>
    <row r="20" spans="1:16" x14ac:dyDescent="0.25">
      <c r="A20" s="52" t="s">
        <v>225</v>
      </c>
      <c r="B20" s="54">
        <v>124402394</v>
      </c>
      <c r="C20" s="54">
        <v>1975</v>
      </c>
      <c r="D20" s="54">
        <f t="shared" si="0"/>
        <v>62988.553924050633</v>
      </c>
      <c r="E20" s="56">
        <f t="shared" si="1"/>
        <v>1.9760244629268349E-2</v>
      </c>
      <c r="F20" s="54">
        <f>COUNTIF(Data_Anomalies!$D$2:$D$81,A20)</f>
        <v>2</v>
      </c>
      <c r="G20" s="54">
        <f>SUMIF(Data_Anomalies!$D$2:$D$81,A20,Data_Anomalies!$I$2:$I$81)</f>
        <v>569168.5</v>
      </c>
      <c r="H20" s="52" t="str">
        <f>IF(F20&gt;=Parameters!$B$3,"HIGH",IF(F20&gt;=Parameters!$B$4,"ELEVATED","LOW"))</f>
        <v>ELEVATED</v>
      </c>
      <c r="I20" s="57">
        <f t="shared" si="2"/>
        <v>0.41181594139424876</v>
      </c>
      <c r="J20" s="54">
        <f>SUMIFS(Data_Anomalies!$I$2:$I$81,Data_Anomalies!$D$2:$D$81,$A20,Data_Anomalies!$C$2:$C$81,J$1)</f>
        <v>0</v>
      </c>
      <c r="K20" s="54">
        <f>SUMIFS(Data_Anomalies!$I$2:$I$81,Data_Anomalies!$D$2:$D$81,$A20,Data_Anomalies!$C$2:$C$81,K$1)</f>
        <v>0</v>
      </c>
      <c r="L20" s="54">
        <f>SUMIFS(Data_Anomalies!$I$2:$I$81,Data_Anomalies!$D$2:$D$81,$A20,Data_Anomalies!$C$2:$C$81,L$1)</f>
        <v>0</v>
      </c>
      <c r="M20" s="54">
        <f>SUMIFS(Data_Anomalies!$I$2:$I$81,Data_Anomalies!$D$2:$D$81,$A20,Data_Anomalies!$C$2:$C$81,M$1)</f>
        <v>569168.5</v>
      </c>
      <c r="N20" s="54">
        <f>SUMIFS(Data_Anomalies!$I$2:$I$81,Data_Anomalies!$D$2:$D$81,$A20,Data_Anomalies!$C$2:$C$81,N$1)</f>
        <v>0</v>
      </c>
      <c r="O20" s="54">
        <f>SUMIFS(Data_Anomalies!$I$2:$I$81,Data_Anomalies!$D$2:$D$81,$A20,Data_Anomalies!$C$2:$C$81,O$1)</f>
        <v>0</v>
      </c>
      <c r="P20" s="52" t="str">
        <f t="shared" si="3"/>
        <v>Logistics</v>
      </c>
    </row>
    <row r="21" spans="1:16" x14ac:dyDescent="0.25">
      <c r="A21" s="52" t="s">
        <v>248</v>
      </c>
      <c r="B21" s="54">
        <v>123669021</v>
      </c>
      <c r="C21" s="54">
        <v>2079</v>
      </c>
      <c r="D21" s="54">
        <f t="shared" si="0"/>
        <v>59484.858585858587</v>
      </c>
      <c r="E21" s="56">
        <f t="shared" si="1"/>
        <v>1.9643754669400694E-2</v>
      </c>
      <c r="F21" s="54">
        <f>COUNTIF(Data_Anomalies!$D$2:$D$81,A21)</f>
        <v>1</v>
      </c>
      <c r="G21" s="54">
        <f>SUMIF(Data_Anomalies!$D$2:$D$81,A21,Data_Anomalies!$I$2:$I$81)</f>
        <v>71867.3</v>
      </c>
      <c r="H21" s="52" t="str">
        <f>IF(F21&gt;=Parameters!$B$3,"HIGH",IF(F21&gt;=Parameters!$B$4,"ELEVATED","LOW"))</f>
        <v>LOW</v>
      </c>
      <c r="I21" s="57">
        <f t="shared" si="2"/>
        <v>0.43145969606364948</v>
      </c>
      <c r="J21" s="54">
        <f>SUMIFS(Data_Anomalies!$I$2:$I$81,Data_Anomalies!$D$2:$D$81,$A21,Data_Anomalies!$C$2:$C$81,J$1)</f>
        <v>0</v>
      </c>
      <c r="K21" s="54">
        <f>SUMIFS(Data_Anomalies!$I$2:$I$81,Data_Anomalies!$D$2:$D$81,$A21,Data_Anomalies!$C$2:$C$81,K$1)</f>
        <v>0</v>
      </c>
      <c r="L21" s="54">
        <f>SUMIFS(Data_Anomalies!$I$2:$I$81,Data_Anomalies!$D$2:$D$81,$A21,Data_Anomalies!$C$2:$C$81,L$1)</f>
        <v>0</v>
      </c>
      <c r="M21" s="54">
        <f>SUMIFS(Data_Anomalies!$I$2:$I$81,Data_Anomalies!$D$2:$D$81,$A21,Data_Anomalies!$C$2:$C$81,M$1)</f>
        <v>0</v>
      </c>
      <c r="N21" s="54">
        <f>SUMIFS(Data_Anomalies!$I$2:$I$81,Data_Anomalies!$D$2:$D$81,$A21,Data_Anomalies!$C$2:$C$81,N$1)</f>
        <v>0</v>
      </c>
      <c r="O21" s="54">
        <f>SUMIFS(Data_Anomalies!$I$2:$I$81,Data_Anomalies!$D$2:$D$81,$A21,Data_Anomalies!$C$2:$C$81,O$1)</f>
        <v>71867.3</v>
      </c>
      <c r="P21" s="52" t="str">
        <f t="shared" si="3"/>
        <v>Office Supplies</v>
      </c>
    </row>
    <row r="22" spans="1:16" x14ac:dyDescent="0.25">
      <c r="A22" s="52" t="s">
        <v>289</v>
      </c>
      <c r="B22" s="54">
        <v>123547219</v>
      </c>
      <c r="C22" s="54">
        <v>2095</v>
      </c>
      <c r="D22" s="54">
        <f t="shared" si="0"/>
        <v>58972.419570405727</v>
      </c>
      <c r="E22" s="56">
        <f t="shared" si="1"/>
        <v>1.9624407474873762E-2</v>
      </c>
      <c r="F22" s="54">
        <f>COUNTIF(Data_Anomalies!$D$2:$D$81,A22)</f>
        <v>0</v>
      </c>
      <c r="G22" s="54">
        <f>SUMIF(Data_Anomalies!$D$2:$D$81,A22,Data_Anomalies!$I$2:$I$81)</f>
        <v>0</v>
      </c>
      <c r="H22" s="52" t="str">
        <f>IF(F22&gt;=Parameters!$B$3,"HIGH",IF(F22&gt;=Parameters!$B$4,"ELEVATED","LOW"))</f>
        <v>LOW</v>
      </c>
      <c r="I22" s="57">
        <f t="shared" si="2"/>
        <v>0.45108410353852324</v>
      </c>
      <c r="J22" s="54">
        <f>SUMIFS(Data_Anomalies!$I$2:$I$81,Data_Anomalies!$D$2:$D$81,$A22,Data_Anomalies!$C$2:$C$81,J$1)</f>
        <v>0</v>
      </c>
      <c r="K22" s="54">
        <f>SUMIFS(Data_Anomalies!$I$2:$I$81,Data_Anomalies!$D$2:$D$81,$A22,Data_Anomalies!$C$2:$C$81,K$1)</f>
        <v>0</v>
      </c>
      <c r="L22" s="54">
        <f>SUMIFS(Data_Anomalies!$I$2:$I$81,Data_Anomalies!$D$2:$D$81,$A22,Data_Anomalies!$C$2:$C$81,L$1)</f>
        <v>0</v>
      </c>
      <c r="M22" s="54">
        <f>SUMIFS(Data_Anomalies!$I$2:$I$81,Data_Anomalies!$D$2:$D$81,$A22,Data_Anomalies!$C$2:$C$81,M$1)</f>
        <v>0</v>
      </c>
      <c r="N22" s="54">
        <f>SUMIFS(Data_Anomalies!$I$2:$I$81,Data_Anomalies!$D$2:$D$81,$A22,Data_Anomalies!$C$2:$C$81,N$1)</f>
        <v>0</v>
      </c>
      <c r="O22" s="54">
        <f>SUMIFS(Data_Anomalies!$I$2:$I$81,Data_Anomalies!$D$2:$D$81,$A22,Data_Anomalies!$C$2:$C$81,O$1)</f>
        <v>0</v>
      </c>
      <c r="P22" s="52" t="str">
        <f t="shared" si="3"/>
        <v>—</v>
      </c>
    </row>
    <row r="23" spans="1:16" x14ac:dyDescent="0.25">
      <c r="A23" s="52" t="s">
        <v>181</v>
      </c>
      <c r="B23" s="54">
        <v>123254524</v>
      </c>
      <c r="C23" s="54">
        <v>1947</v>
      </c>
      <c r="D23" s="54">
        <f t="shared" si="0"/>
        <v>63304.840267077554</v>
      </c>
      <c r="E23" s="56">
        <f t="shared" si="1"/>
        <v>1.9577915404940093E-2</v>
      </c>
      <c r="F23" s="54">
        <f>COUNTIF(Data_Anomalies!$D$2:$D$81,A23)</f>
        <v>1</v>
      </c>
      <c r="G23" s="54">
        <f>SUMIF(Data_Anomalies!$D$2:$D$81,A23,Data_Anomalies!$I$2:$I$81)</f>
        <v>3044448</v>
      </c>
      <c r="H23" s="52" t="str">
        <f>IF(F23&gt;=Parameters!$B$3,"HIGH",IF(F23&gt;=Parameters!$B$4,"ELEVATED","LOW"))</f>
        <v>LOW</v>
      </c>
      <c r="I23" s="57">
        <f t="shared" si="2"/>
        <v>0.47066201894346332</v>
      </c>
      <c r="J23" s="54">
        <f>SUMIFS(Data_Anomalies!$I$2:$I$81,Data_Anomalies!$D$2:$D$81,$A23,Data_Anomalies!$C$2:$C$81,J$1)</f>
        <v>0</v>
      </c>
      <c r="K23" s="54">
        <f>SUMIFS(Data_Anomalies!$I$2:$I$81,Data_Anomalies!$D$2:$D$81,$A23,Data_Anomalies!$C$2:$C$81,K$1)</f>
        <v>0</v>
      </c>
      <c r="L23" s="54">
        <f>SUMIFS(Data_Anomalies!$I$2:$I$81,Data_Anomalies!$D$2:$D$81,$A23,Data_Anomalies!$C$2:$C$81,L$1)</f>
        <v>0</v>
      </c>
      <c r="M23" s="54">
        <f>SUMIFS(Data_Anomalies!$I$2:$I$81,Data_Anomalies!$D$2:$D$81,$A23,Data_Anomalies!$C$2:$C$81,M$1)</f>
        <v>3044448</v>
      </c>
      <c r="N23" s="54">
        <f>SUMIFS(Data_Anomalies!$I$2:$I$81,Data_Anomalies!$D$2:$D$81,$A23,Data_Anomalies!$C$2:$C$81,N$1)</f>
        <v>0</v>
      </c>
      <c r="O23" s="54">
        <f>SUMIFS(Data_Anomalies!$I$2:$I$81,Data_Anomalies!$D$2:$D$81,$A23,Data_Anomalies!$C$2:$C$81,O$1)</f>
        <v>0</v>
      </c>
      <c r="P23" s="52" t="str">
        <f t="shared" si="3"/>
        <v>Logistics</v>
      </c>
    </row>
    <row r="24" spans="1:16" x14ac:dyDescent="0.25">
      <c r="A24" s="52" t="s">
        <v>243</v>
      </c>
      <c r="B24" s="54">
        <v>122683264</v>
      </c>
      <c r="C24" s="54">
        <v>1931</v>
      </c>
      <c r="D24" s="54">
        <f t="shared" si="0"/>
        <v>63533.539098912479</v>
      </c>
      <c r="E24" s="56">
        <f t="shared" si="1"/>
        <v>1.9487175693396312E-2</v>
      </c>
      <c r="F24" s="54">
        <f>COUNTIF(Data_Anomalies!$D$2:$D$81,A24)</f>
        <v>2</v>
      </c>
      <c r="G24" s="54">
        <f>SUMIF(Data_Anomalies!$D$2:$D$81,A24,Data_Anomalies!$I$2:$I$81)</f>
        <v>181270.72</v>
      </c>
      <c r="H24" s="52" t="str">
        <f>IF(F24&gt;=Parameters!$B$3,"HIGH",IF(F24&gt;=Parameters!$B$4,"ELEVATED","LOW"))</f>
        <v>ELEVATED</v>
      </c>
      <c r="I24" s="57">
        <f t="shared" si="2"/>
        <v>0.49014919463685963</v>
      </c>
      <c r="J24" s="54">
        <f>SUMIFS(Data_Anomalies!$I$2:$I$81,Data_Anomalies!$D$2:$D$81,$A24,Data_Anomalies!$C$2:$C$81,J$1)</f>
        <v>0</v>
      </c>
      <c r="K24" s="54">
        <f>SUMIFS(Data_Anomalies!$I$2:$I$81,Data_Anomalies!$D$2:$D$81,$A24,Data_Anomalies!$C$2:$C$81,K$1)</f>
        <v>0</v>
      </c>
      <c r="L24" s="54">
        <f>SUMIFS(Data_Anomalies!$I$2:$I$81,Data_Anomalies!$D$2:$D$81,$A24,Data_Anomalies!$C$2:$C$81,L$1)</f>
        <v>161441.12</v>
      </c>
      <c r="M24" s="54">
        <f>SUMIFS(Data_Anomalies!$I$2:$I$81,Data_Anomalies!$D$2:$D$81,$A24,Data_Anomalies!$C$2:$C$81,M$1)</f>
        <v>0</v>
      </c>
      <c r="N24" s="54">
        <f>SUMIFS(Data_Anomalies!$I$2:$I$81,Data_Anomalies!$D$2:$D$81,$A24,Data_Anomalies!$C$2:$C$81,N$1)</f>
        <v>0</v>
      </c>
      <c r="O24" s="54">
        <f>SUMIFS(Data_Anomalies!$I$2:$I$81,Data_Anomalies!$D$2:$D$81,$A24,Data_Anomalies!$C$2:$C$81,O$1)</f>
        <v>19829.599999999999</v>
      </c>
      <c r="P24" s="52" t="str">
        <f t="shared" si="3"/>
        <v>Media &amp; Energy</v>
      </c>
    </row>
    <row r="25" spans="1:16" x14ac:dyDescent="0.25">
      <c r="A25" s="52" t="s">
        <v>290</v>
      </c>
      <c r="B25" s="54">
        <v>122168937</v>
      </c>
      <c r="C25" s="54">
        <v>1991</v>
      </c>
      <c r="D25" s="54">
        <f t="shared" si="0"/>
        <v>61360.591160220996</v>
      </c>
      <c r="E25" s="56">
        <f t="shared" si="1"/>
        <v>1.9405479296625703E-2</v>
      </c>
      <c r="F25" s="54">
        <f>COUNTIF(Data_Anomalies!$D$2:$D$81,A25)</f>
        <v>0</v>
      </c>
      <c r="G25" s="54">
        <f>SUMIF(Data_Anomalies!$D$2:$D$81,A25,Data_Anomalies!$I$2:$I$81)</f>
        <v>0</v>
      </c>
      <c r="H25" s="52" t="str">
        <f>IF(F25&gt;=Parameters!$B$3,"HIGH",IF(F25&gt;=Parameters!$B$4,"ELEVATED","LOW"))</f>
        <v>LOW</v>
      </c>
      <c r="I25" s="57">
        <f t="shared" si="2"/>
        <v>0.5095546739334853</v>
      </c>
      <c r="J25" s="54">
        <f>SUMIFS(Data_Anomalies!$I$2:$I$81,Data_Anomalies!$D$2:$D$81,$A25,Data_Anomalies!$C$2:$C$81,J$1)</f>
        <v>0</v>
      </c>
      <c r="K25" s="54">
        <f>SUMIFS(Data_Anomalies!$I$2:$I$81,Data_Anomalies!$D$2:$D$81,$A25,Data_Anomalies!$C$2:$C$81,K$1)</f>
        <v>0</v>
      </c>
      <c r="L25" s="54">
        <f>SUMIFS(Data_Anomalies!$I$2:$I$81,Data_Anomalies!$D$2:$D$81,$A25,Data_Anomalies!$C$2:$C$81,L$1)</f>
        <v>0</v>
      </c>
      <c r="M25" s="54">
        <f>SUMIFS(Data_Anomalies!$I$2:$I$81,Data_Anomalies!$D$2:$D$81,$A25,Data_Anomalies!$C$2:$C$81,M$1)</f>
        <v>0</v>
      </c>
      <c r="N25" s="54">
        <f>SUMIFS(Data_Anomalies!$I$2:$I$81,Data_Anomalies!$D$2:$D$81,$A25,Data_Anomalies!$C$2:$C$81,N$1)</f>
        <v>0</v>
      </c>
      <c r="O25" s="54">
        <f>SUMIFS(Data_Anomalies!$I$2:$I$81,Data_Anomalies!$D$2:$D$81,$A25,Data_Anomalies!$C$2:$C$81,O$1)</f>
        <v>0</v>
      </c>
      <c r="P25" s="52" t="str">
        <f t="shared" si="3"/>
        <v>—</v>
      </c>
    </row>
    <row r="26" spans="1:16" x14ac:dyDescent="0.25">
      <c r="A26" s="52" t="s">
        <v>291</v>
      </c>
      <c r="B26" s="54">
        <v>121822781</v>
      </c>
      <c r="C26" s="54">
        <v>2025</v>
      </c>
      <c r="D26" s="54">
        <f t="shared" si="0"/>
        <v>60159.398024691356</v>
      </c>
      <c r="E26" s="56">
        <f t="shared" si="1"/>
        <v>1.9350495409097869E-2</v>
      </c>
      <c r="F26" s="54">
        <f>COUNTIF(Data_Anomalies!$D$2:$D$81,A26)</f>
        <v>0</v>
      </c>
      <c r="G26" s="54">
        <f>SUMIF(Data_Anomalies!$D$2:$D$81,A26,Data_Anomalies!$I$2:$I$81)</f>
        <v>0</v>
      </c>
      <c r="H26" s="52" t="str">
        <f>IF(F26&gt;=Parameters!$B$3,"HIGH",IF(F26&gt;=Parameters!$B$4,"ELEVATED","LOW"))</f>
        <v>LOW</v>
      </c>
      <c r="I26" s="57">
        <f t="shared" si="2"/>
        <v>0.52890516934258325</v>
      </c>
      <c r="J26" s="54">
        <f>SUMIFS(Data_Anomalies!$I$2:$I$81,Data_Anomalies!$D$2:$D$81,$A26,Data_Anomalies!$C$2:$C$81,J$1)</f>
        <v>0</v>
      </c>
      <c r="K26" s="54">
        <f>SUMIFS(Data_Anomalies!$I$2:$I$81,Data_Anomalies!$D$2:$D$81,$A26,Data_Anomalies!$C$2:$C$81,K$1)</f>
        <v>0</v>
      </c>
      <c r="L26" s="54">
        <f>SUMIFS(Data_Anomalies!$I$2:$I$81,Data_Anomalies!$D$2:$D$81,$A26,Data_Anomalies!$C$2:$C$81,L$1)</f>
        <v>0</v>
      </c>
      <c r="M26" s="54">
        <f>SUMIFS(Data_Anomalies!$I$2:$I$81,Data_Anomalies!$D$2:$D$81,$A26,Data_Anomalies!$C$2:$C$81,M$1)</f>
        <v>0</v>
      </c>
      <c r="N26" s="54">
        <f>SUMIFS(Data_Anomalies!$I$2:$I$81,Data_Anomalies!$D$2:$D$81,$A26,Data_Anomalies!$C$2:$C$81,N$1)</f>
        <v>0</v>
      </c>
      <c r="O26" s="54">
        <f>SUMIFS(Data_Anomalies!$I$2:$I$81,Data_Anomalies!$D$2:$D$81,$A26,Data_Anomalies!$C$2:$C$81,O$1)</f>
        <v>0</v>
      </c>
      <c r="P26" s="52" t="str">
        <f t="shared" si="3"/>
        <v>—</v>
      </c>
    </row>
    <row r="27" spans="1:16" x14ac:dyDescent="0.25">
      <c r="A27" s="52" t="s">
        <v>271</v>
      </c>
      <c r="B27" s="54">
        <v>121669347</v>
      </c>
      <c r="C27" s="54">
        <v>2000</v>
      </c>
      <c r="D27" s="54">
        <f t="shared" si="0"/>
        <v>60834.673499999997</v>
      </c>
      <c r="E27" s="56">
        <f t="shared" si="1"/>
        <v>1.9326123744880162E-2</v>
      </c>
      <c r="F27" s="54">
        <f>COUNTIF(Data_Anomalies!$D$2:$D$81,A27)</f>
        <v>1</v>
      </c>
      <c r="G27" s="54">
        <f>SUMIF(Data_Anomalies!$D$2:$D$81,A27,Data_Anomalies!$I$2:$I$81)</f>
        <v>10760.16</v>
      </c>
      <c r="H27" s="52" t="str">
        <f>IF(F27&gt;=Parameters!$B$3,"HIGH",IF(F27&gt;=Parameters!$B$4,"ELEVATED","LOW"))</f>
        <v>LOW</v>
      </c>
      <c r="I27" s="57">
        <f t="shared" si="2"/>
        <v>0.54823129308746332</v>
      </c>
      <c r="J27" s="54">
        <f>SUMIFS(Data_Anomalies!$I$2:$I$81,Data_Anomalies!$D$2:$D$81,$A27,Data_Anomalies!$C$2:$C$81,J$1)</f>
        <v>0</v>
      </c>
      <c r="K27" s="54">
        <f>SUMIFS(Data_Anomalies!$I$2:$I$81,Data_Anomalies!$D$2:$D$81,$A27,Data_Anomalies!$C$2:$C$81,K$1)</f>
        <v>0</v>
      </c>
      <c r="L27" s="54">
        <f>SUMIFS(Data_Anomalies!$I$2:$I$81,Data_Anomalies!$D$2:$D$81,$A27,Data_Anomalies!$C$2:$C$81,L$1)</f>
        <v>0</v>
      </c>
      <c r="M27" s="54">
        <f>SUMIFS(Data_Anomalies!$I$2:$I$81,Data_Anomalies!$D$2:$D$81,$A27,Data_Anomalies!$C$2:$C$81,M$1)</f>
        <v>10760.16</v>
      </c>
      <c r="N27" s="54">
        <f>SUMIFS(Data_Anomalies!$I$2:$I$81,Data_Anomalies!$D$2:$D$81,$A27,Data_Anomalies!$C$2:$C$81,N$1)</f>
        <v>0</v>
      </c>
      <c r="O27" s="54">
        <f>SUMIFS(Data_Anomalies!$I$2:$I$81,Data_Anomalies!$D$2:$D$81,$A27,Data_Anomalies!$C$2:$C$81,O$1)</f>
        <v>0</v>
      </c>
      <c r="P27" s="52" t="str">
        <f t="shared" si="3"/>
        <v>Logistics</v>
      </c>
    </row>
    <row r="28" spans="1:16" x14ac:dyDescent="0.25">
      <c r="A28" s="52" t="s">
        <v>206</v>
      </c>
      <c r="B28" s="54">
        <v>121322654</v>
      </c>
      <c r="C28" s="54">
        <v>1956</v>
      </c>
      <c r="D28" s="54">
        <f t="shared" si="0"/>
        <v>62025.896728016363</v>
      </c>
      <c r="E28" s="56">
        <f t="shared" si="1"/>
        <v>1.9271054559545552E-2</v>
      </c>
      <c r="F28" s="54">
        <f>COUNTIF(Data_Anomalies!$D$2:$D$81,A28)</f>
        <v>4</v>
      </c>
      <c r="G28" s="54">
        <f>SUMIF(Data_Anomalies!$D$2:$D$81,A28,Data_Anomalies!$I$2:$I$81)</f>
        <v>1920318.6799999997</v>
      </c>
      <c r="H28" s="52" t="str">
        <f>IF(F28&gt;=Parameters!$B$3,"HIGH",IF(F28&gt;=Parameters!$B$4,"ELEVATED","LOW"))</f>
        <v>HIGH</v>
      </c>
      <c r="I28" s="57">
        <f t="shared" si="2"/>
        <v>0.56750234764700891</v>
      </c>
      <c r="J28" s="54">
        <f>SUMIFS(Data_Anomalies!$I$2:$I$81,Data_Anomalies!$D$2:$D$81,$A28,Data_Anomalies!$C$2:$C$81,J$1)</f>
        <v>0</v>
      </c>
      <c r="K28" s="54">
        <f>SUMIFS(Data_Anomalies!$I$2:$I$81,Data_Anomalies!$D$2:$D$81,$A28,Data_Anomalies!$C$2:$C$81,K$1)</f>
        <v>1484381.88</v>
      </c>
      <c r="L28" s="54">
        <f>SUMIFS(Data_Anomalies!$I$2:$I$81,Data_Anomalies!$D$2:$D$81,$A28,Data_Anomalies!$C$2:$C$81,L$1)</f>
        <v>0</v>
      </c>
      <c r="M28" s="54">
        <f>SUMIFS(Data_Anomalies!$I$2:$I$81,Data_Anomalies!$D$2:$D$81,$A28,Data_Anomalies!$C$2:$C$81,M$1)</f>
        <v>167002.40000000002</v>
      </c>
      <c r="N28" s="54">
        <f>SUMIFS(Data_Anomalies!$I$2:$I$81,Data_Anomalies!$D$2:$D$81,$A28,Data_Anomalies!$C$2:$C$81,N$1)</f>
        <v>268934.39999999997</v>
      </c>
      <c r="O28" s="54">
        <f>SUMIFS(Data_Anomalies!$I$2:$I$81,Data_Anomalies!$D$2:$D$81,$A28,Data_Anomalies!$C$2:$C$81,O$1)</f>
        <v>0</v>
      </c>
      <c r="P28" s="52" t="str">
        <f t="shared" si="3"/>
        <v>Marketing Services</v>
      </c>
    </row>
    <row r="29" spans="1:16" x14ac:dyDescent="0.25">
      <c r="A29" s="52" t="s">
        <v>202</v>
      </c>
      <c r="B29" s="54">
        <v>121288439</v>
      </c>
      <c r="C29" s="54">
        <v>1956</v>
      </c>
      <c r="D29" s="54">
        <f t="shared" si="0"/>
        <v>62008.404396728016</v>
      </c>
      <c r="E29" s="56">
        <f t="shared" si="1"/>
        <v>1.9265619802638943E-2</v>
      </c>
      <c r="F29" s="54">
        <f>COUNTIF(Data_Anomalies!$D$2:$D$81,A29)</f>
        <v>3</v>
      </c>
      <c r="G29" s="54">
        <f>SUMIF(Data_Anomalies!$D$2:$D$81,A29,Data_Anomalies!$I$2:$I$81)</f>
        <v>1315833.6599999999</v>
      </c>
      <c r="H29" s="52" t="str">
        <f>IF(F29&gt;=Parameters!$B$3,"HIGH",IF(F29&gt;=Parameters!$B$4,"ELEVATED","LOW"))</f>
        <v>ELEVATED</v>
      </c>
      <c r="I29" s="57">
        <f t="shared" si="2"/>
        <v>0.58676796744964788</v>
      </c>
      <c r="J29" s="54">
        <f>SUMIFS(Data_Anomalies!$I$2:$I$81,Data_Anomalies!$D$2:$D$81,$A29,Data_Anomalies!$C$2:$C$81,J$1)</f>
        <v>0</v>
      </c>
      <c r="K29" s="54">
        <f>SUMIFS(Data_Anomalies!$I$2:$I$81,Data_Anomalies!$D$2:$D$81,$A29,Data_Anomalies!$C$2:$C$81,K$1)</f>
        <v>0</v>
      </c>
      <c r="L29" s="54">
        <f>SUMIFS(Data_Anomalies!$I$2:$I$81,Data_Anomalies!$D$2:$D$81,$A29,Data_Anomalies!$C$2:$C$81,L$1)</f>
        <v>0</v>
      </c>
      <c r="M29" s="54">
        <f>SUMIFS(Data_Anomalies!$I$2:$I$81,Data_Anomalies!$D$2:$D$81,$A29,Data_Anomalies!$C$2:$C$81,M$1)</f>
        <v>0</v>
      </c>
      <c r="N29" s="54">
        <f>SUMIFS(Data_Anomalies!$I$2:$I$81,Data_Anomalies!$D$2:$D$81,$A29,Data_Anomalies!$C$2:$C$81,N$1)</f>
        <v>1272112.3799999999</v>
      </c>
      <c r="O29" s="54">
        <f>SUMIFS(Data_Anomalies!$I$2:$I$81,Data_Anomalies!$D$2:$D$81,$A29,Data_Anomalies!$C$2:$C$81,O$1)</f>
        <v>43721.279999999999</v>
      </c>
      <c r="P29" s="52" t="str">
        <f t="shared" si="3"/>
        <v>Raw Materials</v>
      </c>
    </row>
    <row r="30" spans="1:16" x14ac:dyDescent="0.25">
      <c r="A30" s="52" t="s">
        <v>262</v>
      </c>
      <c r="B30" s="54">
        <v>121076145</v>
      </c>
      <c r="C30" s="54">
        <v>2005</v>
      </c>
      <c r="D30" s="54">
        <f t="shared" si="0"/>
        <v>60387.104738154616</v>
      </c>
      <c r="E30" s="56">
        <f t="shared" si="1"/>
        <v>1.9231898736360057E-2</v>
      </c>
      <c r="F30" s="54">
        <f>COUNTIF(Data_Anomalies!$D$2:$D$81,A30)</f>
        <v>2</v>
      </c>
      <c r="G30" s="54">
        <f>SUMIF(Data_Anomalies!$D$2:$D$81,A30,Data_Anomalies!$I$2:$I$81)</f>
        <v>35815.910000000003</v>
      </c>
      <c r="H30" s="52" t="str">
        <f>IF(F30&gt;=Parameters!$B$3,"HIGH",IF(F30&gt;=Parameters!$B$4,"ELEVATED","LOW"))</f>
        <v>ELEVATED</v>
      </c>
      <c r="I30" s="57">
        <f t="shared" si="2"/>
        <v>0.60599986618600787</v>
      </c>
      <c r="J30" s="54">
        <f>SUMIFS(Data_Anomalies!$I$2:$I$81,Data_Anomalies!$D$2:$D$81,$A30,Data_Anomalies!$C$2:$C$81,J$1)</f>
        <v>0</v>
      </c>
      <c r="K30" s="54">
        <f>SUMIFS(Data_Anomalies!$I$2:$I$81,Data_Anomalies!$D$2:$D$81,$A30,Data_Anomalies!$C$2:$C$81,K$1)</f>
        <v>0</v>
      </c>
      <c r="L30" s="54">
        <f>SUMIFS(Data_Anomalies!$I$2:$I$81,Data_Anomalies!$D$2:$D$81,$A30,Data_Anomalies!$C$2:$C$81,L$1)</f>
        <v>0</v>
      </c>
      <c r="M30" s="54">
        <f>SUMIFS(Data_Anomalies!$I$2:$I$81,Data_Anomalies!$D$2:$D$81,$A30,Data_Anomalies!$C$2:$C$81,M$1)</f>
        <v>0</v>
      </c>
      <c r="N30" s="54">
        <f>SUMIFS(Data_Anomalies!$I$2:$I$81,Data_Anomalies!$D$2:$D$81,$A30,Data_Anomalies!$C$2:$C$81,N$1)</f>
        <v>29032.32</v>
      </c>
      <c r="O30" s="54">
        <f>SUMIFS(Data_Anomalies!$I$2:$I$81,Data_Anomalies!$D$2:$D$81,$A30,Data_Anomalies!$C$2:$C$81,O$1)</f>
        <v>6783.59</v>
      </c>
      <c r="P30" s="52" t="str">
        <f t="shared" si="3"/>
        <v>Raw Materials</v>
      </c>
    </row>
    <row r="31" spans="1:16" x14ac:dyDescent="0.25">
      <c r="A31" s="52" t="s">
        <v>218</v>
      </c>
      <c r="B31" s="54">
        <v>120798496</v>
      </c>
      <c r="C31" s="54">
        <v>2003</v>
      </c>
      <c r="D31" s="54">
        <f t="shared" si="0"/>
        <v>60308.784822765854</v>
      </c>
      <c r="E31" s="56">
        <f t="shared" si="1"/>
        <v>1.918779659342966E-2</v>
      </c>
      <c r="F31" s="54">
        <f>COUNTIF(Data_Anomalies!$D$2:$D$81,A31)</f>
        <v>3</v>
      </c>
      <c r="G31" s="54">
        <f>SUMIF(Data_Anomalies!$D$2:$D$81,A31,Data_Anomalies!$I$2:$I$81)</f>
        <v>439654.98000000004</v>
      </c>
      <c r="H31" s="52" t="str">
        <f>IF(F31&gt;=Parameters!$B$3,"HIGH",IF(F31&gt;=Parameters!$B$4,"ELEVATED","LOW"))</f>
        <v>ELEVATED</v>
      </c>
      <c r="I31" s="57">
        <f t="shared" si="2"/>
        <v>0.6251876627794376</v>
      </c>
      <c r="J31" s="54">
        <f>SUMIFS(Data_Anomalies!$I$2:$I$81,Data_Anomalies!$D$2:$D$81,$A31,Data_Anomalies!$C$2:$C$81,J$1)</f>
        <v>0</v>
      </c>
      <c r="K31" s="54">
        <f>SUMIFS(Data_Anomalies!$I$2:$I$81,Data_Anomalies!$D$2:$D$81,$A31,Data_Anomalies!$C$2:$C$81,K$1)</f>
        <v>0</v>
      </c>
      <c r="L31" s="54">
        <f>SUMIFS(Data_Anomalies!$I$2:$I$81,Data_Anomalies!$D$2:$D$81,$A31,Data_Anomalies!$C$2:$C$81,L$1)</f>
        <v>419964.00000000006</v>
      </c>
      <c r="M31" s="54">
        <f>SUMIFS(Data_Anomalies!$I$2:$I$81,Data_Anomalies!$D$2:$D$81,$A31,Data_Anomalies!$C$2:$C$81,M$1)</f>
        <v>0</v>
      </c>
      <c r="N31" s="54">
        <f>SUMIFS(Data_Anomalies!$I$2:$I$81,Data_Anomalies!$D$2:$D$81,$A31,Data_Anomalies!$C$2:$C$81,N$1)</f>
        <v>3030.98</v>
      </c>
      <c r="O31" s="54">
        <f>SUMIFS(Data_Anomalies!$I$2:$I$81,Data_Anomalies!$D$2:$D$81,$A31,Data_Anomalies!$C$2:$C$81,O$1)</f>
        <v>16660</v>
      </c>
      <c r="P31" s="52" t="str">
        <f t="shared" si="3"/>
        <v>Media &amp; Energy</v>
      </c>
    </row>
    <row r="32" spans="1:16" x14ac:dyDescent="0.25">
      <c r="A32" s="52" t="s">
        <v>227</v>
      </c>
      <c r="B32" s="54">
        <v>120557342</v>
      </c>
      <c r="C32" s="54">
        <v>1948</v>
      </c>
      <c r="D32" s="54">
        <f t="shared" si="0"/>
        <v>61887.752566735115</v>
      </c>
      <c r="E32" s="56">
        <f t="shared" si="1"/>
        <v>1.9149491365691624E-2</v>
      </c>
      <c r="F32" s="54">
        <f>COUNTIF(Data_Anomalies!$D$2:$D$81,A32)</f>
        <v>1</v>
      </c>
      <c r="G32" s="54">
        <f>SUMIF(Data_Anomalies!$D$2:$D$81,A32,Data_Anomalies!$I$2:$I$81)</f>
        <v>293559.25</v>
      </c>
      <c r="H32" s="52" t="str">
        <f>IF(F32&gt;=Parameters!$B$3,"HIGH",IF(F32&gt;=Parameters!$B$4,"ELEVATED","LOW"))</f>
        <v>LOW</v>
      </c>
      <c r="I32" s="57">
        <f t="shared" si="2"/>
        <v>0.64433715414512915</v>
      </c>
      <c r="J32" s="54">
        <f>SUMIFS(Data_Anomalies!$I$2:$I$81,Data_Anomalies!$D$2:$D$81,$A32,Data_Anomalies!$C$2:$C$81,J$1)</f>
        <v>0</v>
      </c>
      <c r="K32" s="54">
        <f>SUMIFS(Data_Anomalies!$I$2:$I$81,Data_Anomalies!$D$2:$D$81,$A32,Data_Anomalies!$C$2:$C$81,K$1)</f>
        <v>0</v>
      </c>
      <c r="L32" s="54">
        <f>SUMIFS(Data_Anomalies!$I$2:$I$81,Data_Anomalies!$D$2:$D$81,$A32,Data_Anomalies!$C$2:$C$81,L$1)</f>
        <v>293559.25</v>
      </c>
      <c r="M32" s="54">
        <f>SUMIFS(Data_Anomalies!$I$2:$I$81,Data_Anomalies!$D$2:$D$81,$A32,Data_Anomalies!$C$2:$C$81,M$1)</f>
        <v>0</v>
      </c>
      <c r="N32" s="54">
        <f>SUMIFS(Data_Anomalies!$I$2:$I$81,Data_Anomalies!$D$2:$D$81,$A32,Data_Anomalies!$C$2:$C$81,N$1)</f>
        <v>0</v>
      </c>
      <c r="O32" s="54">
        <f>SUMIFS(Data_Anomalies!$I$2:$I$81,Data_Anomalies!$D$2:$D$81,$A32,Data_Anomalies!$C$2:$C$81,O$1)</f>
        <v>0</v>
      </c>
      <c r="P32" s="52" t="str">
        <f t="shared" si="3"/>
        <v>Media &amp; Energy</v>
      </c>
    </row>
    <row r="33" spans="1:16" x14ac:dyDescent="0.25">
      <c r="A33" s="52" t="s">
        <v>171</v>
      </c>
      <c r="B33" s="54">
        <v>120551118</v>
      </c>
      <c r="C33" s="54">
        <v>1976</v>
      </c>
      <c r="D33" s="54">
        <f t="shared" si="0"/>
        <v>61007.650809716601</v>
      </c>
      <c r="E33" s="56">
        <f t="shared" si="1"/>
        <v>1.914850273710806E-2</v>
      </c>
      <c r="F33" s="54">
        <f>COUNTIF(Data_Anomalies!$D$2:$D$81,A33)</f>
        <v>2</v>
      </c>
      <c r="G33" s="54">
        <f>SUMIF(Data_Anomalies!$D$2:$D$81,A33,Data_Anomalies!$I$2:$I$81)</f>
        <v>5788735.2800000003</v>
      </c>
      <c r="H33" s="52" t="str">
        <f>IF(F33&gt;=Parameters!$B$3,"HIGH",IF(F33&gt;=Parameters!$B$4,"ELEVATED","LOW"))</f>
        <v>ELEVATED</v>
      </c>
      <c r="I33" s="57">
        <f t="shared" si="2"/>
        <v>0.66348565688223726</v>
      </c>
      <c r="J33" s="54">
        <f>SUMIFS(Data_Anomalies!$I$2:$I$81,Data_Anomalies!$D$2:$D$81,$A33,Data_Anomalies!$C$2:$C$81,J$1)</f>
        <v>5572446.4199999999</v>
      </c>
      <c r="K33" s="54">
        <f>SUMIFS(Data_Anomalies!$I$2:$I$81,Data_Anomalies!$D$2:$D$81,$A33,Data_Anomalies!$C$2:$C$81,K$1)</f>
        <v>0</v>
      </c>
      <c r="L33" s="54">
        <f>SUMIFS(Data_Anomalies!$I$2:$I$81,Data_Anomalies!$D$2:$D$81,$A33,Data_Anomalies!$C$2:$C$81,L$1)</f>
        <v>0</v>
      </c>
      <c r="M33" s="54">
        <f>SUMIFS(Data_Anomalies!$I$2:$I$81,Data_Anomalies!$D$2:$D$81,$A33,Data_Anomalies!$C$2:$C$81,M$1)</f>
        <v>216288.86000000002</v>
      </c>
      <c r="N33" s="54">
        <f>SUMIFS(Data_Anomalies!$I$2:$I$81,Data_Anomalies!$D$2:$D$81,$A33,Data_Anomalies!$C$2:$C$81,N$1)</f>
        <v>0</v>
      </c>
      <c r="O33" s="54">
        <f>SUMIFS(Data_Anomalies!$I$2:$I$81,Data_Anomalies!$D$2:$D$81,$A33,Data_Anomalies!$C$2:$C$81,O$1)</f>
        <v>0</v>
      </c>
      <c r="P33" s="52" t="str">
        <f t="shared" si="3"/>
        <v>IT Hardware</v>
      </c>
    </row>
    <row r="34" spans="1:16" x14ac:dyDescent="0.25">
      <c r="A34" s="52" t="s">
        <v>222</v>
      </c>
      <c r="B34" s="54">
        <v>119913183</v>
      </c>
      <c r="C34" s="54">
        <v>2007</v>
      </c>
      <c r="D34" s="54">
        <f t="shared" ref="D34:D65" si="4">B34/C34</f>
        <v>59747.475336322866</v>
      </c>
      <c r="E34" s="56">
        <f t="shared" ref="E34:E51" si="5">B34/SUM($B$2:$B$51)</f>
        <v>1.9047172278326273E-2</v>
      </c>
      <c r="F34" s="54">
        <f>COUNTIF(Data_Anomalies!$D$2:$D$81,A34)</f>
        <v>1</v>
      </c>
      <c r="G34" s="54">
        <f>SUMIF(Data_Anomalies!$D$2:$D$81,A34,Data_Anomalies!$I$2:$I$81)</f>
        <v>382284</v>
      </c>
      <c r="H34" s="52" t="str">
        <f>IF(F34&gt;=Parameters!$B$3,"HIGH",IF(F34&gt;=Parameters!$B$4,"ELEVATED","LOW"))</f>
        <v>LOW</v>
      </c>
      <c r="I34" s="57">
        <f t="shared" ref="I34:I51" si="6">SUMIF($B$2:$B$51,"&gt;="&amp;B34)/SUM($B$2:$B$51)</f>
        <v>0.68253282916056357</v>
      </c>
      <c r="J34" s="54">
        <f>SUMIFS(Data_Anomalies!$I$2:$I$81,Data_Anomalies!$D$2:$D$81,$A34,Data_Anomalies!$C$2:$C$81,J$1)</f>
        <v>0</v>
      </c>
      <c r="K34" s="54">
        <f>SUMIFS(Data_Anomalies!$I$2:$I$81,Data_Anomalies!$D$2:$D$81,$A34,Data_Anomalies!$C$2:$C$81,K$1)</f>
        <v>0</v>
      </c>
      <c r="L34" s="54">
        <f>SUMIFS(Data_Anomalies!$I$2:$I$81,Data_Anomalies!$D$2:$D$81,$A34,Data_Anomalies!$C$2:$C$81,L$1)</f>
        <v>0</v>
      </c>
      <c r="M34" s="54">
        <f>SUMIFS(Data_Anomalies!$I$2:$I$81,Data_Anomalies!$D$2:$D$81,$A34,Data_Anomalies!$C$2:$C$81,M$1)</f>
        <v>0</v>
      </c>
      <c r="N34" s="54">
        <f>SUMIFS(Data_Anomalies!$I$2:$I$81,Data_Anomalies!$D$2:$D$81,$A34,Data_Anomalies!$C$2:$C$81,N$1)</f>
        <v>382284</v>
      </c>
      <c r="O34" s="54">
        <f>SUMIFS(Data_Anomalies!$I$2:$I$81,Data_Anomalies!$D$2:$D$81,$A34,Data_Anomalies!$C$2:$C$81,O$1)</f>
        <v>0</v>
      </c>
      <c r="P34" s="52" t="str">
        <f t="shared" ref="P34:P65" si="7">IF(G34=0,"—",INDEX($J$1:$O$1,MATCH(MAX(J34:O34),J34:O34,0)))</f>
        <v>Raw Materials</v>
      </c>
    </row>
    <row r="35" spans="1:16" x14ac:dyDescent="0.25">
      <c r="A35" s="52" t="s">
        <v>229</v>
      </c>
      <c r="B35" s="54">
        <v>119707169</v>
      </c>
      <c r="C35" s="54">
        <v>1957</v>
      </c>
      <c r="D35" s="54">
        <f t="shared" si="4"/>
        <v>61168.711803781298</v>
      </c>
      <c r="E35" s="56">
        <f t="shared" si="5"/>
        <v>1.9014448735746748E-2</v>
      </c>
      <c r="F35" s="54">
        <f>COUNTIF(Data_Anomalies!$D$2:$D$81,A35)</f>
        <v>1</v>
      </c>
      <c r="G35" s="54">
        <f>SUMIF(Data_Anomalies!$D$2:$D$81,A35,Data_Anomalies!$I$2:$I$81)</f>
        <v>292443.52000000002</v>
      </c>
      <c r="H35" s="52" t="str">
        <f>IF(F35&gt;=Parameters!$B$3,"HIGH",IF(F35&gt;=Parameters!$B$4,"ELEVATED","LOW"))</f>
        <v>LOW</v>
      </c>
      <c r="I35" s="57">
        <f t="shared" si="6"/>
        <v>0.70154727789631033</v>
      </c>
      <c r="J35" s="54">
        <f>SUMIFS(Data_Anomalies!$I$2:$I$81,Data_Anomalies!$D$2:$D$81,$A35,Data_Anomalies!$C$2:$C$81,J$1)</f>
        <v>0</v>
      </c>
      <c r="K35" s="54">
        <f>SUMIFS(Data_Anomalies!$I$2:$I$81,Data_Anomalies!$D$2:$D$81,$A35,Data_Anomalies!$C$2:$C$81,K$1)</f>
        <v>0</v>
      </c>
      <c r="L35" s="54">
        <f>SUMIFS(Data_Anomalies!$I$2:$I$81,Data_Anomalies!$D$2:$D$81,$A35,Data_Anomalies!$C$2:$C$81,L$1)</f>
        <v>0</v>
      </c>
      <c r="M35" s="54">
        <f>SUMIFS(Data_Anomalies!$I$2:$I$81,Data_Anomalies!$D$2:$D$81,$A35,Data_Anomalies!$C$2:$C$81,M$1)</f>
        <v>292443.52000000002</v>
      </c>
      <c r="N35" s="54">
        <f>SUMIFS(Data_Anomalies!$I$2:$I$81,Data_Anomalies!$D$2:$D$81,$A35,Data_Anomalies!$C$2:$C$81,N$1)</f>
        <v>0</v>
      </c>
      <c r="O35" s="54">
        <f>SUMIFS(Data_Anomalies!$I$2:$I$81,Data_Anomalies!$D$2:$D$81,$A35,Data_Anomalies!$C$2:$C$81,O$1)</f>
        <v>0</v>
      </c>
      <c r="P35" s="52" t="str">
        <f t="shared" si="7"/>
        <v>Logistics</v>
      </c>
    </row>
    <row r="36" spans="1:16" x14ac:dyDescent="0.25">
      <c r="A36" s="52" t="s">
        <v>292</v>
      </c>
      <c r="B36" s="54">
        <v>119321338</v>
      </c>
      <c r="C36" s="54">
        <v>2022</v>
      </c>
      <c r="D36" s="54">
        <f t="shared" si="4"/>
        <v>59011.542037586551</v>
      </c>
      <c r="E36" s="56">
        <f t="shared" si="5"/>
        <v>1.8953162817522736E-2</v>
      </c>
      <c r="F36" s="54">
        <f>COUNTIF(Data_Anomalies!$D$2:$D$81,A36)</f>
        <v>0</v>
      </c>
      <c r="G36" s="54">
        <f>SUMIF(Data_Anomalies!$D$2:$D$81,A36,Data_Anomalies!$I$2:$I$81)</f>
        <v>0</v>
      </c>
      <c r="H36" s="52" t="str">
        <f>IF(F36&gt;=Parameters!$B$3,"HIGH",IF(F36&gt;=Parameters!$B$4,"ELEVATED","LOW"))</f>
        <v>LOW</v>
      </c>
      <c r="I36" s="57">
        <f t="shared" si="6"/>
        <v>0.72050044071383301</v>
      </c>
      <c r="J36" s="54">
        <f>SUMIFS(Data_Anomalies!$I$2:$I$81,Data_Anomalies!$D$2:$D$81,$A36,Data_Anomalies!$C$2:$C$81,J$1)</f>
        <v>0</v>
      </c>
      <c r="K36" s="54">
        <f>SUMIFS(Data_Anomalies!$I$2:$I$81,Data_Anomalies!$D$2:$D$81,$A36,Data_Anomalies!$C$2:$C$81,K$1)</f>
        <v>0</v>
      </c>
      <c r="L36" s="54">
        <f>SUMIFS(Data_Anomalies!$I$2:$I$81,Data_Anomalies!$D$2:$D$81,$A36,Data_Anomalies!$C$2:$C$81,L$1)</f>
        <v>0</v>
      </c>
      <c r="M36" s="54">
        <f>SUMIFS(Data_Anomalies!$I$2:$I$81,Data_Anomalies!$D$2:$D$81,$A36,Data_Anomalies!$C$2:$C$81,M$1)</f>
        <v>0</v>
      </c>
      <c r="N36" s="54">
        <f>SUMIFS(Data_Anomalies!$I$2:$I$81,Data_Anomalies!$D$2:$D$81,$A36,Data_Anomalies!$C$2:$C$81,N$1)</f>
        <v>0</v>
      </c>
      <c r="O36" s="54">
        <f>SUMIFS(Data_Anomalies!$I$2:$I$81,Data_Anomalies!$D$2:$D$81,$A36,Data_Anomalies!$C$2:$C$81,O$1)</f>
        <v>0</v>
      </c>
      <c r="P36" s="52" t="str">
        <f t="shared" si="7"/>
        <v>—</v>
      </c>
    </row>
    <row r="37" spans="1:16" x14ac:dyDescent="0.25">
      <c r="A37" s="52" t="s">
        <v>252</v>
      </c>
      <c r="B37" s="54">
        <v>119156191</v>
      </c>
      <c r="C37" s="54">
        <v>1994</v>
      </c>
      <c r="D37" s="54">
        <f t="shared" si="4"/>
        <v>59757.367602808423</v>
      </c>
      <c r="E37" s="56">
        <f t="shared" si="5"/>
        <v>1.8926930644532641E-2</v>
      </c>
      <c r="F37" s="54">
        <f>COUNTIF(Data_Anomalies!$D$2:$D$81,A37)</f>
        <v>1</v>
      </c>
      <c r="G37" s="54">
        <f>SUMIF(Data_Anomalies!$D$2:$D$81,A37,Data_Anomalies!$I$2:$I$81)</f>
        <v>63866.400000000001</v>
      </c>
      <c r="H37" s="52" t="str">
        <f>IF(F37&gt;=Parameters!$B$3,"HIGH",IF(F37&gt;=Parameters!$B$4,"ELEVATED","LOW"))</f>
        <v>LOW</v>
      </c>
      <c r="I37" s="57">
        <f t="shared" si="6"/>
        <v>0.73942737135836567</v>
      </c>
      <c r="J37" s="54">
        <f>SUMIFS(Data_Anomalies!$I$2:$I$81,Data_Anomalies!$D$2:$D$81,$A37,Data_Anomalies!$C$2:$C$81,J$1)</f>
        <v>0</v>
      </c>
      <c r="K37" s="54">
        <f>SUMIFS(Data_Anomalies!$I$2:$I$81,Data_Anomalies!$D$2:$D$81,$A37,Data_Anomalies!$C$2:$C$81,K$1)</f>
        <v>0</v>
      </c>
      <c r="L37" s="54">
        <f>SUMIFS(Data_Anomalies!$I$2:$I$81,Data_Anomalies!$D$2:$D$81,$A37,Data_Anomalies!$C$2:$C$81,L$1)</f>
        <v>0</v>
      </c>
      <c r="M37" s="54">
        <f>SUMIFS(Data_Anomalies!$I$2:$I$81,Data_Anomalies!$D$2:$D$81,$A37,Data_Anomalies!$C$2:$C$81,M$1)</f>
        <v>0</v>
      </c>
      <c r="N37" s="54">
        <f>SUMIFS(Data_Anomalies!$I$2:$I$81,Data_Anomalies!$D$2:$D$81,$A37,Data_Anomalies!$C$2:$C$81,N$1)</f>
        <v>63866.400000000001</v>
      </c>
      <c r="O37" s="54">
        <f>SUMIFS(Data_Anomalies!$I$2:$I$81,Data_Anomalies!$D$2:$D$81,$A37,Data_Anomalies!$C$2:$C$81,O$1)</f>
        <v>0</v>
      </c>
      <c r="P37" s="52" t="str">
        <f t="shared" si="7"/>
        <v>Raw Materials</v>
      </c>
    </row>
    <row r="38" spans="1:16" x14ac:dyDescent="0.25">
      <c r="A38" s="52" t="s">
        <v>250</v>
      </c>
      <c r="B38" s="54">
        <v>119105694</v>
      </c>
      <c r="C38" s="54">
        <v>1968</v>
      </c>
      <c r="D38" s="54">
        <f t="shared" si="4"/>
        <v>60521.185975609755</v>
      </c>
      <c r="E38" s="56">
        <f t="shared" si="5"/>
        <v>1.8918909632709958E-2</v>
      </c>
      <c r="F38" s="54">
        <f>COUNTIF(Data_Anomalies!$D$2:$D$81,A38)</f>
        <v>1</v>
      </c>
      <c r="G38" s="54">
        <f>SUMIF(Data_Anomalies!$D$2:$D$81,A38,Data_Anomalies!$I$2:$I$81)</f>
        <v>65568</v>
      </c>
      <c r="H38" s="52" t="str">
        <f>IF(F38&gt;=Parameters!$B$3,"HIGH",IF(F38&gt;=Parameters!$B$4,"ELEVATED","LOW"))</f>
        <v>LOW</v>
      </c>
      <c r="I38" s="57">
        <f t="shared" si="6"/>
        <v>0.75834628099107559</v>
      </c>
      <c r="J38" s="54">
        <f>SUMIFS(Data_Anomalies!$I$2:$I$81,Data_Anomalies!$D$2:$D$81,$A38,Data_Anomalies!$C$2:$C$81,J$1)</f>
        <v>0</v>
      </c>
      <c r="K38" s="54">
        <f>SUMIFS(Data_Anomalies!$I$2:$I$81,Data_Anomalies!$D$2:$D$81,$A38,Data_Anomalies!$C$2:$C$81,K$1)</f>
        <v>0</v>
      </c>
      <c r="L38" s="54">
        <f>SUMIFS(Data_Anomalies!$I$2:$I$81,Data_Anomalies!$D$2:$D$81,$A38,Data_Anomalies!$C$2:$C$81,L$1)</f>
        <v>0</v>
      </c>
      <c r="M38" s="54">
        <f>SUMIFS(Data_Anomalies!$I$2:$I$81,Data_Anomalies!$D$2:$D$81,$A38,Data_Anomalies!$C$2:$C$81,M$1)</f>
        <v>0</v>
      </c>
      <c r="N38" s="54">
        <f>SUMIFS(Data_Anomalies!$I$2:$I$81,Data_Anomalies!$D$2:$D$81,$A38,Data_Anomalies!$C$2:$C$81,N$1)</f>
        <v>0</v>
      </c>
      <c r="O38" s="54">
        <f>SUMIFS(Data_Anomalies!$I$2:$I$81,Data_Anomalies!$D$2:$D$81,$A38,Data_Anomalies!$C$2:$C$81,O$1)</f>
        <v>65568</v>
      </c>
      <c r="P38" s="52" t="str">
        <f t="shared" si="7"/>
        <v>Office Supplies</v>
      </c>
    </row>
    <row r="39" spans="1:16" x14ac:dyDescent="0.25">
      <c r="A39" s="52" t="s">
        <v>269</v>
      </c>
      <c r="B39" s="54">
        <v>118803216</v>
      </c>
      <c r="C39" s="54">
        <v>1970</v>
      </c>
      <c r="D39" s="54">
        <f t="shared" si="4"/>
        <v>60306.201015228427</v>
      </c>
      <c r="E39" s="56">
        <f t="shared" si="5"/>
        <v>1.887086361781597E-2</v>
      </c>
      <c r="F39" s="54">
        <f>COUNTIF(Data_Anomalies!$D$2:$D$81,A39)</f>
        <v>1</v>
      </c>
      <c r="G39" s="54">
        <f>SUMIF(Data_Anomalies!$D$2:$D$81,A39,Data_Anomalies!$I$2:$I$81)</f>
        <v>13460.28</v>
      </c>
      <c r="H39" s="52" t="str">
        <f>IF(F39&gt;=Parameters!$B$3,"HIGH",IF(F39&gt;=Parameters!$B$4,"ELEVATED","LOW"))</f>
        <v>LOW</v>
      </c>
      <c r="I39" s="57">
        <f t="shared" si="6"/>
        <v>0.77721714460889157</v>
      </c>
      <c r="J39" s="54">
        <f>SUMIFS(Data_Anomalies!$I$2:$I$81,Data_Anomalies!$D$2:$D$81,$A39,Data_Anomalies!$C$2:$C$81,J$1)</f>
        <v>0</v>
      </c>
      <c r="K39" s="54">
        <f>SUMIFS(Data_Anomalies!$I$2:$I$81,Data_Anomalies!$D$2:$D$81,$A39,Data_Anomalies!$C$2:$C$81,K$1)</f>
        <v>0</v>
      </c>
      <c r="L39" s="54">
        <f>SUMIFS(Data_Anomalies!$I$2:$I$81,Data_Anomalies!$D$2:$D$81,$A39,Data_Anomalies!$C$2:$C$81,L$1)</f>
        <v>0</v>
      </c>
      <c r="M39" s="54">
        <f>SUMIFS(Data_Anomalies!$I$2:$I$81,Data_Anomalies!$D$2:$D$81,$A39,Data_Anomalies!$C$2:$C$81,M$1)</f>
        <v>0</v>
      </c>
      <c r="N39" s="54">
        <f>SUMIFS(Data_Anomalies!$I$2:$I$81,Data_Anomalies!$D$2:$D$81,$A39,Data_Anomalies!$C$2:$C$81,N$1)</f>
        <v>13460.28</v>
      </c>
      <c r="O39" s="54">
        <f>SUMIFS(Data_Anomalies!$I$2:$I$81,Data_Anomalies!$D$2:$D$81,$A39,Data_Anomalies!$C$2:$C$81,O$1)</f>
        <v>0</v>
      </c>
      <c r="P39" s="52" t="str">
        <f t="shared" si="7"/>
        <v>Raw Materials</v>
      </c>
    </row>
    <row r="40" spans="1:16" x14ac:dyDescent="0.25">
      <c r="A40" s="52" t="s">
        <v>293</v>
      </c>
      <c r="B40" s="54">
        <v>118564020</v>
      </c>
      <c r="C40" s="54">
        <v>1956</v>
      </c>
      <c r="D40" s="54">
        <f t="shared" si="4"/>
        <v>60615.552147239265</v>
      </c>
      <c r="E40" s="56">
        <f t="shared" si="5"/>
        <v>1.8832869401447894E-2</v>
      </c>
      <c r="F40" s="54">
        <f>COUNTIF(Data_Anomalies!$D$2:$D$81,A40)</f>
        <v>0</v>
      </c>
      <c r="G40" s="54">
        <f>SUMIF(Data_Anomalies!$D$2:$D$81,A40,Data_Anomalies!$I$2:$I$81)</f>
        <v>0</v>
      </c>
      <c r="H40" s="52" t="str">
        <f>IF(F40&gt;=Parameters!$B$3,"HIGH",IF(F40&gt;=Parameters!$B$4,"ELEVATED","LOW"))</f>
        <v>LOW</v>
      </c>
      <c r="I40" s="57">
        <f t="shared" si="6"/>
        <v>0.79605001401033948</v>
      </c>
      <c r="J40" s="54">
        <f>SUMIFS(Data_Anomalies!$I$2:$I$81,Data_Anomalies!$D$2:$D$81,$A40,Data_Anomalies!$C$2:$C$81,J$1)</f>
        <v>0</v>
      </c>
      <c r="K40" s="54">
        <f>SUMIFS(Data_Anomalies!$I$2:$I$81,Data_Anomalies!$D$2:$D$81,$A40,Data_Anomalies!$C$2:$C$81,K$1)</f>
        <v>0</v>
      </c>
      <c r="L40" s="54">
        <f>SUMIFS(Data_Anomalies!$I$2:$I$81,Data_Anomalies!$D$2:$D$81,$A40,Data_Anomalies!$C$2:$C$81,L$1)</f>
        <v>0</v>
      </c>
      <c r="M40" s="54">
        <f>SUMIFS(Data_Anomalies!$I$2:$I$81,Data_Anomalies!$D$2:$D$81,$A40,Data_Anomalies!$C$2:$C$81,M$1)</f>
        <v>0</v>
      </c>
      <c r="N40" s="54">
        <f>SUMIFS(Data_Anomalies!$I$2:$I$81,Data_Anomalies!$D$2:$D$81,$A40,Data_Anomalies!$C$2:$C$81,N$1)</f>
        <v>0</v>
      </c>
      <c r="O40" s="54">
        <f>SUMIFS(Data_Anomalies!$I$2:$I$81,Data_Anomalies!$D$2:$D$81,$A40,Data_Anomalies!$C$2:$C$81,O$1)</f>
        <v>0</v>
      </c>
      <c r="P40" s="52" t="str">
        <f t="shared" si="7"/>
        <v>—</v>
      </c>
    </row>
    <row r="41" spans="1:16" x14ac:dyDescent="0.25">
      <c r="A41" s="52" t="s">
        <v>191</v>
      </c>
      <c r="B41" s="54">
        <v>117909852</v>
      </c>
      <c r="C41" s="54">
        <v>1966</v>
      </c>
      <c r="D41" s="54">
        <f t="shared" si="4"/>
        <v>59974.492370295018</v>
      </c>
      <c r="E41" s="56">
        <f t="shared" si="5"/>
        <v>1.8728960470976354E-2</v>
      </c>
      <c r="F41" s="54">
        <f>COUNTIF(Data_Anomalies!$D$2:$D$81,A41)</f>
        <v>2</v>
      </c>
      <c r="G41" s="54">
        <f>SUMIF(Data_Anomalies!$D$2:$D$81,A41,Data_Anomalies!$I$2:$I$81)</f>
        <v>2025155.72</v>
      </c>
      <c r="H41" s="52" t="str">
        <f>IF(F41&gt;=Parameters!$B$3,"HIGH",IF(F41&gt;=Parameters!$B$4,"ELEVATED","LOW"))</f>
        <v>ELEVATED</v>
      </c>
      <c r="I41" s="57">
        <f t="shared" si="6"/>
        <v>0.81477897448131587</v>
      </c>
      <c r="J41" s="54">
        <f>SUMIFS(Data_Anomalies!$I$2:$I$81,Data_Anomalies!$D$2:$D$81,$A41,Data_Anomalies!$C$2:$C$81,J$1)</f>
        <v>0</v>
      </c>
      <c r="K41" s="54">
        <f>SUMIFS(Data_Anomalies!$I$2:$I$81,Data_Anomalies!$D$2:$D$81,$A41,Data_Anomalies!$C$2:$C$81,K$1)</f>
        <v>0</v>
      </c>
      <c r="L41" s="54">
        <f>SUMIFS(Data_Anomalies!$I$2:$I$81,Data_Anomalies!$D$2:$D$81,$A41,Data_Anomalies!$C$2:$C$81,L$1)</f>
        <v>0</v>
      </c>
      <c r="M41" s="54">
        <f>SUMIFS(Data_Anomalies!$I$2:$I$81,Data_Anomalies!$D$2:$D$81,$A41,Data_Anomalies!$C$2:$C$81,M$1)</f>
        <v>2002320</v>
      </c>
      <c r="N41" s="54">
        <f>SUMIFS(Data_Anomalies!$I$2:$I$81,Data_Anomalies!$D$2:$D$81,$A41,Data_Anomalies!$C$2:$C$81,N$1)</f>
        <v>0</v>
      </c>
      <c r="O41" s="54">
        <f>SUMIFS(Data_Anomalies!$I$2:$I$81,Data_Anomalies!$D$2:$D$81,$A41,Data_Anomalies!$C$2:$C$81,O$1)</f>
        <v>22835.72</v>
      </c>
      <c r="P41" s="52" t="str">
        <f t="shared" si="7"/>
        <v>Logistics</v>
      </c>
    </row>
    <row r="42" spans="1:16" x14ac:dyDescent="0.25">
      <c r="A42" s="52" t="s">
        <v>193</v>
      </c>
      <c r="B42" s="54">
        <v>117532031</v>
      </c>
      <c r="C42" s="54">
        <v>1924</v>
      </c>
      <c r="D42" s="54">
        <f t="shared" si="4"/>
        <v>61087.334199584198</v>
      </c>
      <c r="E42" s="56">
        <f t="shared" si="5"/>
        <v>1.8668946871993084E-2</v>
      </c>
      <c r="F42" s="54">
        <f>COUNTIF(Data_Anomalies!$D$2:$D$81,A42)</f>
        <v>3</v>
      </c>
      <c r="G42" s="54">
        <f>SUMIF(Data_Anomalies!$D$2:$D$81,A42,Data_Anomalies!$I$2:$I$81)</f>
        <v>3562208.16</v>
      </c>
      <c r="H42" s="52" t="str">
        <f>IF(F42&gt;=Parameters!$B$3,"HIGH",IF(F42&gt;=Parameters!$B$4,"ELEVATED","LOW"))</f>
        <v>ELEVATED</v>
      </c>
      <c r="I42" s="57">
        <f t="shared" si="6"/>
        <v>0.83344792135330892</v>
      </c>
      <c r="J42" s="54">
        <f>SUMIFS(Data_Anomalies!$I$2:$I$81,Data_Anomalies!$D$2:$D$81,$A42,Data_Anomalies!$C$2:$C$81,J$1)</f>
        <v>2883432.16</v>
      </c>
      <c r="K42" s="54">
        <f>SUMIFS(Data_Anomalies!$I$2:$I$81,Data_Anomalies!$D$2:$D$81,$A42,Data_Anomalies!$C$2:$C$81,K$1)</f>
        <v>0</v>
      </c>
      <c r="L42" s="54">
        <f>SUMIFS(Data_Anomalies!$I$2:$I$81,Data_Anomalies!$D$2:$D$81,$A42,Data_Anomalies!$C$2:$C$81,L$1)</f>
        <v>0</v>
      </c>
      <c r="M42" s="54">
        <f>SUMIFS(Data_Anomalies!$I$2:$I$81,Data_Anomalies!$D$2:$D$81,$A42,Data_Anomalies!$C$2:$C$81,M$1)</f>
        <v>0</v>
      </c>
      <c r="N42" s="54">
        <f>SUMIFS(Data_Anomalies!$I$2:$I$81,Data_Anomalies!$D$2:$D$81,$A42,Data_Anomalies!$C$2:$C$81,N$1)</f>
        <v>678776</v>
      </c>
      <c r="O42" s="54">
        <f>SUMIFS(Data_Anomalies!$I$2:$I$81,Data_Anomalies!$D$2:$D$81,$A42,Data_Anomalies!$C$2:$C$81,O$1)</f>
        <v>0</v>
      </c>
      <c r="P42" s="52" t="str">
        <f t="shared" si="7"/>
        <v>IT Hardware</v>
      </c>
    </row>
    <row r="43" spans="1:16" x14ac:dyDescent="0.25">
      <c r="A43" s="52" t="s">
        <v>197</v>
      </c>
      <c r="B43" s="54">
        <v>117526961</v>
      </c>
      <c r="C43" s="54">
        <v>1964</v>
      </c>
      <c r="D43" s="54">
        <f t="shared" si="4"/>
        <v>59840.611507128313</v>
      </c>
      <c r="E43" s="56">
        <f t="shared" si="5"/>
        <v>1.866814154633134E-2</v>
      </c>
      <c r="F43" s="54">
        <f>COUNTIF(Data_Anomalies!$D$2:$D$81,A43)</f>
        <v>1</v>
      </c>
      <c r="G43" s="54">
        <f>SUMIF(Data_Anomalies!$D$2:$D$81,A43,Data_Anomalies!$I$2:$I$81)</f>
        <v>1376775.5</v>
      </c>
      <c r="H43" s="52" t="str">
        <f>IF(F43&gt;=Parameters!$B$3,"HIGH",IF(F43&gt;=Parameters!$B$4,"ELEVATED","LOW"))</f>
        <v>LOW</v>
      </c>
      <c r="I43" s="57">
        <f t="shared" si="6"/>
        <v>0.85211606289964026</v>
      </c>
      <c r="J43" s="54">
        <f>SUMIFS(Data_Anomalies!$I$2:$I$81,Data_Anomalies!$D$2:$D$81,$A43,Data_Anomalies!$C$2:$C$81,J$1)</f>
        <v>1376775.5</v>
      </c>
      <c r="K43" s="54">
        <f>SUMIFS(Data_Anomalies!$I$2:$I$81,Data_Anomalies!$D$2:$D$81,$A43,Data_Anomalies!$C$2:$C$81,K$1)</f>
        <v>0</v>
      </c>
      <c r="L43" s="54">
        <f>SUMIFS(Data_Anomalies!$I$2:$I$81,Data_Anomalies!$D$2:$D$81,$A43,Data_Anomalies!$C$2:$C$81,L$1)</f>
        <v>0</v>
      </c>
      <c r="M43" s="54">
        <f>SUMIFS(Data_Anomalies!$I$2:$I$81,Data_Anomalies!$D$2:$D$81,$A43,Data_Anomalies!$C$2:$C$81,M$1)</f>
        <v>0</v>
      </c>
      <c r="N43" s="54">
        <f>SUMIFS(Data_Anomalies!$I$2:$I$81,Data_Anomalies!$D$2:$D$81,$A43,Data_Anomalies!$C$2:$C$81,N$1)</f>
        <v>0</v>
      </c>
      <c r="O43" s="54">
        <f>SUMIFS(Data_Anomalies!$I$2:$I$81,Data_Anomalies!$D$2:$D$81,$A43,Data_Anomalies!$C$2:$C$81,O$1)</f>
        <v>0</v>
      </c>
      <c r="P43" s="52" t="str">
        <f t="shared" si="7"/>
        <v>IT Hardware</v>
      </c>
    </row>
    <row r="44" spans="1:16" x14ac:dyDescent="0.25">
      <c r="A44" s="52" t="s">
        <v>199</v>
      </c>
      <c r="B44" s="54">
        <v>117435041</v>
      </c>
      <c r="C44" s="54">
        <v>2087</v>
      </c>
      <c r="D44" s="54">
        <f t="shared" si="4"/>
        <v>56269.784858648782</v>
      </c>
      <c r="E44" s="56">
        <f t="shared" si="5"/>
        <v>1.8653540849126734E-2</v>
      </c>
      <c r="F44" s="54">
        <f>COUNTIF(Data_Anomalies!$D$2:$D$81,A44)</f>
        <v>2</v>
      </c>
      <c r="G44" s="54">
        <f>SUMIF(Data_Anomalies!$D$2:$D$81,A44,Data_Anomalies!$I$2:$I$81)</f>
        <v>1361441.12</v>
      </c>
      <c r="H44" s="52" t="str">
        <f>IF(F44&gt;=Parameters!$B$3,"HIGH",IF(F44&gt;=Parameters!$B$4,"ELEVATED","LOW"))</f>
        <v>ELEVATED</v>
      </c>
      <c r="I44" s="57">
        <f t="shared" si="6"/>
        <v>0.870769603748767</v>
      </c>
      <c r="J44" s="54">
        <f>SUMIFS(Data_Anomalies!$I$2:$I$81,Data_Anomalies!$D$2:$D$81,$A44,Data_Anomalies!$C$2:$C$81,J$1)</f>
        <v>0</v>
      </c>
      <c r="K44" s="54">
        <f>SUMIFS(Data_Anomalies!$I$2:$I$81,Data_Anomalies!$D$2:$D$81,$A44,Data_Anomalies!$C$2:$C$81,K$1)</f>
        <v>1325851.52</v>
      </c>
      <c r="L44" s="54">
        <f>SUMIFS(Data_Anomalies!$I$2:$I$81,Data_Anomalies!$D$2:$D$81,$A44,Data_Anomalies!$C$2:$C$81,L$1)</f>
        <v>0</v>
      </c>
      <c r="M44" s="54">
        <f>SUMIFS(Data_Anomalies!$I$2:$I$81,Data_Anomalies!$D$2:$D$81,$A44,Data_Anomalies!$C$2:$C$81,M$1)</f>
        <v>0</v>
      </c>
      <c r="N44" s="54">
        <f>SUMIFS(Data_Anomalies!$I$2:$I$81,Data_Anomalies!$D$2:$D$81,$A44,Data_Anomalies!$C$2:$C$81,N$1)</f>
        <v>0</v>
      </c>
      <c r="O44" s="54">
        <f>SUMIFS(Data_Anomalies!$I$2:$I$81,Data_Anomalies!$D$2:$D$81,$A44,Data_Anomalies!$C$2:$C$81,O$1)</f>
        <v>35589.600000000006</v>
      </c>
      <c r="P44" s="52" t="str">
        <f t="shared" si="7"/>
        <v>Marketing Services</v>
      </c>
    </row>
    <row r="45" spans="1:16" x14ac:dyDescent="0.25">
      <c r="A45" s="52" t="s">
        <v>294</v>
      </c>
      <c r="B45" s="54">
        <v>117297071</v>
      </c>
      <c r="C45" s="54">
        <v>1950</v>
      </c>
      <c r="D45" s="54">
        <f t="shared" si="4"/>
        <v>60152.3441025641</v>
      </c>
      <c r="E45" s="56">
        <f t="shared" si="5"/>
        <v>1.8631625507598015E-2</v>
      </c>
      <c r="F45" s="54">
        <f>COUNTIF(Data_Anomalies!$D$2:$D$81,A45)</f>
        <v>0</v>
      </c>
      <c r="G45" s="54">
        <f>SUMIF(Data_Anomalies!$D$2:$D$81,A45,Data_Anomalies!$I$2:$I$81)</f>
        <v>0</v>
      </c>
      <c r="H45" s="52" t="str">
        <f>IF(F45&gt;=Parameters!$B$3,"HIGH",IF(F45&gt;=Parameters!$B$4,"ELEVATED","LOW"))</f>
        <v>LOW</v>
      </c>
      <c r="I45" s="57">
        <f t="shared" si="6"/>
        <v>0.889401229256365</v>
      </c>
      <c r="J45" s="54">
        <f>SUMIFS(Data_Anomalies!$I$2:$I$81,Data_Anomalies!$D$2:$D$81,$A45,Data_Anomalies!$C$2:$C$81,J$1)</f>
        <v>0</v>
      </c>
      <c r="K45" s="54">
        <f>SUMIFS(Data_Anomalies!$I$2:$I$81,Data_Anomalies!$D$2:$D$81,$A45,Data_Anomalies!$C$2:$C$81,K$1)</f>
        <v>0</v>
      </c>
      <c r="L45" s="54">
        <f>SUMIFS(Data_Anomalies!$I$2:$I$81,Data_Anomalies!$D$2:$D$81,$A45,Data_Anomalies!$C$2:$C$81,L$1)</f>
        <v>0</v>
      </c>
      <c r="M45" s="54">
        <f>SUMIFS(Data_Anomalies!$I$2:$I$81,Data_Anomalies!$D$2:$D$81,$A45,Data_Anomalies!$C$2:$C$81,M$1)</f>
        <v>0</v>
      </c>
      <c r="N45" s="54">
        <f>SUMIFS(Data_Anomalies!$I$2:$I$81,Data_Anomalies!$D$2:$D$81,$A45,Data_Anomalies!$C$2:$C$81,N$1)</f>
        <v>0</v>
      </c>
      <c r="O45" s="54">
        <f>SUMIFS(Data_Anomalies!$I$2:$I$81,Data_Anomalies!$D$2:$D$81,$A45,Data_Anomalies!$C$2:$C$81,O$1)</f>
        <v>0</v>
      </c>
      <c r="P45" s="52" t="str">
        <f t="shared" si="7"/>
        <v>—</v>
      </c>
    </row>
    <row r="46" spans="1:16" x14ac:dyDescent="0.25">
      <c r="A46" s="52" t="s">
        <v>231</v>
      </c>
      <c r="B46" s="54">
        <v>116807058</v>
      </c>
      <c r="C46" s="54">
        <v>2031</v>
      </c>
      <c r="D46" s="54">
        <f t="shared" si="4"/>
        <v>57512.091580502216</v>
      </c>
      <c r="E46" s="56">
        <f t="shared" si="5"/>
        <v>1.8553791179493996E-2</v>
      </c>
      <c r="F46" s="54">
        <f>COUNTIF(Data_Anomalies!$D$2:$D$81,A46)</f>
        <v>1</v>
      </c>
      <c r="G46" s="54">
        <f>SUMIF(Data_Anomalies!$D$2:$D$81,A46,Data_Anomalies!$I$2:$I$81)</f>
        <v>276828.82</v>
      </c>
      <c r="H46" s="52" t="str">
        <f>IF(F46&gt;=Parameters!$B$3,"HIGH",IF(F46&gt;=Parameters!$B$4,"ELEVATED","LOW"))</f>
        <v>LOW</v>
      </c>
      <c r="I46" s="57">
        <f t="shared" si="6"/>
        <v>0.90795502043585896</v>
      </c>
      <c r="J46" s="54">
        <f>SUMIFS(Data_Anomalies!$I$2:$I$81,Data_Anomalies!$D$2:$D$81,$A46,Data_Anomalies!$C$2:$C$81,J$1)</f>
        <v>0</v>
      </c>
      <c r="K46" s="54">
        <f>SUMIFS(Data_Anomalies!$I$2:$I$81,Data_Anomalies!$D$2:$D$81,$A46,Data_Anomalies!$C$2:$C$81,K$1)</f>
        <v>0</v>
      </c>
      <c r="L46" s="54">
        <f>SUMIFS(Data_Anomalies!$I$2:$I$81,Data_Anomalies!$D$2:$D$81,$A46,Data_Anomalies!$C$2:$C$81,L$1)</f>
        <v>0</v>
      </c>
      <c r="M46" s="54">
        <f>SUMIFS(Data_Anomalies!$I$2:$I$81,Data_Anomalies!$D$2:$D$81,$A46,Data_Anomalies!$C$2:$C$81,M$1)</f>
        <v>276828.82</v>
      </c>
      <c r="N46" s="54">
        <f>SUMIFS(Data_Anomalies!$I$2:$I$81,Data_Anomalies!$D$2:$D$81,$A46,Data_Anomalies!$C$2:$C$81,N$1)</f>
        <v>0</v>
      </c>
      <c r="O46" s="54">
        <f>SUMIFS(Data_Anomalies!$I$2:$I$81,Data_Anomalies!$D$2:$D$81,$A46,Data_Anomalies!$C$2:$C$81,O$1)</f>
        <v>0</v>
      </c>
      <c r="P46" s="52" t="str">
        <f t="shared" si="7"/>
        <v>Logistics</v>
      </c>
    </row>
    <row r="47" spans="1:16" x14ac:dyDescent="0.25">
      <c r="A47" s="52" t="s">
        <v>175</v>
      </c>
      <c r="B47" s="54">
        <v>116772309</v>
      </c>
      <c r="C47" s="54">
        <v>2025</v>
      </c>
      <c r="D47" s="54">
        <f t="shared" si="4"/>
        <v>57665.337777777779</v>
      </c>
      <c r="E47" s="56">
        <f t="shared" si="5"/>
        <v>1.8548271601304667E-2</v>
      </c>
      <c r="F47" s="54">
        <f>COUNTIF(Data_Anomalies!$D$2:$D$81,A47)</f>
        <v>4</v>
      </c>
      <c r="G47" s="54">
        <f>SUMIF(Data_Anomalies!$D$2:$D$81,A47,Data_Anomalies!$I$2:$I$81)</f>
        <v>5433555.8799999999</v>
      </c>
      <c r="H47" s="52" t="str">
        <f>IF(F47&gt;=Parameters!$B$3,"HIGH",IF(F47&gt;=Parameters!$B$4,"ELEVATED","LOW"))</f>
        <v>HIGH</v>
      </c>
      <c r="I47" s="57">
        <f t="shared" si="6"/>
        <v>0.92650329203716364</v>
      </c>
      <c r="J47" s="54">
        <f>SUMIFS(Data_Anomalies!$I$2:$I$81,Data_Anomalies!$D$2:$D$81,$A47,Data_Anomalies!$C$2:$C$81,J$1)</f>
        <v>0</v>
      </c>
      <c r="K47" s="54">
        <f>SUMIFS(Data_Anomalies!$I$2:$I$81,Data_Anomalies!$D$2:$D$81,$A47,Data_Anomalies!$C$2:$C$81,K$1)</f>
        <v>5354117.5</v>
      </c>
      <c r="L47" s="54">
        <f>SUMIFS(Data_Anomalies!$I$2:$I$81,Data_Anomalies!$D$2:$D$81,$A47,Data_Anomalies!$C$2:$C$81,L$1)</f>
        <v>0</v>
      </c>
      <c r="M47" s="54">
        <f>SUMIFS(Data_Anomalies!$I$2:$I$81,Data_Anomalies!$D$2:$D$81,$A47,Data_Anomalies!$C$2:$C$81,M$1)</f>
        <v>0</v>
      </c>
      <c r="N47" s="54">
        <f>SUMIFS(Data_Anomalies!$I$2:$I$81,Data_Anomalies!$D$2:$D$81,$A47,Data_Anomalies!$C$2:$C$81,N$1)</f>
        <v>27339.3</v>
      </c>
      <c r="O47" s="54">
        <f>SUMIFS(Data_Anomalies!$I$2:$I$81,Data_Anomalies!$D$2:$D$81,$A47,Data_Anomalies!$C$2:$C$81,O$1)</f>
        <v>52099.08</v>
      </c>
      <c r="P47" s="52" t="str">
        <f t="shared" si="7"/>
        <v>Marketing Services</v>
      </c>
    </row>
    <row r="48" spans="1:16" x14ac:dyDescent="0.25">
      <c r="A48" s="52" t="s">
        <v>295</v>
      </c>
      <c r="B48" s="54">
        <v>116516117</v>
      </c>
      <c r="C48" s="54">
        <v>1981</v>
      </c>
      <c r="D48" s="54">
        <f t="shared" si="4"/>
        <v>58816.818273599194</v>
      </c>
      <c r="E48" s="56">
        <f t="shared" si="5"/>
        <v>1.8507577717294194E-2</v>
      </c>
      <c r="F48" s="54">
        <f>COUNTIF(Data_Anomalies!$D$2:$D$81,A48)</f>
        <v>0</v>
      </c>
      <c r="G48" s="54">
        <f>SUMIF(Data_Anomalies!$D$2:$D$81,A48,Data_Anomalies!$I$2:$I$81)</f>
        <v>0</v>
      </c>
      <c r="H48" s="52" t="str">
        <f>IF(F48&gt;=Parameters!$B$3,"HIGH",IF(F48&gt;=Parameters!$B$4,"ELEVATED","LOW"))</f>
        <v>LOW</v>
      </c>
      <c r="I48" s="57">
        <f t="shared" si="6"/>
        <v>0.94501086975445792</v>
      </c>
      <c r="J48" s="54">
        <f>SUMIFS(Data_Anomalies!$I$2:$I$81,Data_Anomalies!$D$2:$D$81,$A48,Data_Anomalies!$C$2:$C$81,J$1)</f>
        <v>0</v>
      </c>
      <c r="K48" s="54">
        <f>SUMIFS(Data_Anomalies!$I$2:$I$81,Data_Anomalies!$D$2:$D$81,$A48,Data_Anomalies!$C$2:$C$81,K$1)</f>
        <v>0</v>
      </c>
      <c r="L48" s="54">
        <f>SUMIFS(Data_Anomalies!$I$2:$I$81,Data_Anomalies!$D$2:$D$81,$A48,Data_Anomalies!$C$2:$C$81,L$1)</f>
        <v>0</v>
      </c>
      <c r="M48" s="54">
        <f>SUMIFS(Data_Anomalies!$I$2:$I$81,Data_Anomalies!$D$2:$D$81,$A48,Data_Anomalies!$C$2:$C$81,M$1)</f>
        <v>0</v>
      </c>
      <c r="N48" s="54">
        <f>SUMIFS(Data_Anomalies!$I$2:$I$81,Data_Anomalies!$D$2:$D$81,$A48,Data_Anomalies!$C$2:$C$81,N$1)</f>
        <v>0</v>
      </c>
      <c r="O48" s="54">
        <f>SUMIFS(Data_Anomalies!$I$2:$I$81,Data_Anomalies!$D$2:$D$81,$A48,Data_Anomalies!$C$2:$C$81,O$1)</f>
        <v>0</v>
      </c>
      <c r="P48" s="52" t="str">
        <f t="shared" si="7"/>
        <v>—</v>
      </c>
    </row>
    <row r="49" spans="1:16" x14ac:dyDescent="0.25">
      <c r="A49" s="52" t="s">
        <v>240</v>
      </c>
      <c r="B49" s="54">
        <v>116501820</v>
      </c>
      <c r="C49" s="54">
        <v>1981</v>
      </c>
      <c r="D49" s="54">
        <f t="shared" si="4"/>
        <v>58809.60121150934</v>
      </c>
      <c r="E49" s="56">
        <f t="shared" si="5"/>
        <v>1.8505306762464618E-2</v>
      </c>
      <c r="F49" s="54">
        <f>COUNTIF(Data_Anomalies!$D$2:$D$81,A49)</f>
        <v>2</v>
      </c>
      <c r="G49" s="54">
        <f>SUMIF(Data_Anomalies!$D$2:$D$81,A49,Data_Anomalies!$I$2:$I$81)</f>
        <v>224839.68000000002</v>
      </c>
      <c r="H49" s="52" t="str">
        <f>IF(F49&gt;=Parameters!$B$3,"HIGH",IF(F49&gt;=Parameters!$B$4,"ELEVATED","LOW"))</f>
        <v>ELEVATED</v>
      </c>
      <c r="I49" s="57">
        <f t="shared" si="6"/>
        <v>0.96351617651692245</v>
      </c>
      <c r="J49" s="54">
        <f>SUMIFS(Data_Anomalies!$I$2:$I$81,Data_Anomalies!$D$2:$D$81,$A49,Data_Anomalies!$C$2:$C$81,J$1)</f>
        <v>0</v>
      </c>
      <c r="K49" s="54">
        <f>SUMIFS(Data_Anomalies!$I$2:$I$81,Data_Anomalies!$D$2:$D$81,$A49,Data_Anomalies!$C$2:$C$81,K$1)</f>
        <v>0</v>
      </c>
      <c r="L49" s="54">
        <f>SUMIFS(Data_Anomalies!$I$2:$I$81,Data_Anomalies!$D$2:$D$81,$A49,Data_Anomalies!$C$2:$C$81,L$1)</f>
        <v>0</v>
      </c>
      <c r="M49" s="54">
        <f>SUMIFS(Data_Anomalies!$I$2:$I$81,Data_Anomalies!$D$2:$D$81,$A49,Data_Anomalies!$C$2:$C$81,M$1)</f>
        <v>224839.68000000002</v>
      </c>
      <c r="N49" s="54">
        <f>SUMIFS(Data_Anomalies!$I$2:$I$81,Data_Anomalies!$D$2:$D$81,$A49,Data_Anomalies!$C$2:$C$81,N$1)</f>
        <v>0</v>
      </c>
      <c r="O49" s="54">
        <f>SUMIFS(Data_Anomalies!$I$2:$I$81,Data_Anomalies!$D$2:$D$81,$A49,Data_Anomalies!$C$2:$C$81,O$1)</f>
        <v>0</v>
      </c>
      <c r="P49" s="52" t="str">
        <f t="shared" si="7"/>
        <v>Logistics</v>
      </c>
    </row>
    <row r="50" spans="1:16" x14ac:dyDescent="0.25">
      <c r="A50" s="52" t="s">
        <v>296</v>
      </c>
      <c r="B50" s="54">
        <v>115791723</v>
      </c>
      <c r="C50" s="54">
        <v>1921</v>
      </c>
      <c r="D50" s="54">
        <f t="shared" si="4"/>
        <v>60276.794898490371</v>
      </c>
      <c r="E50" s="56">
        <f t="shared" si="5"/>
        <v>1.8392513993938722E-2</v>
      </c>
      <c r="F50" s="54">
        <f>COUNTIF(Data_Anomalies!$D$2:$D$81,A50)</f>
        <v>0</v>
      </c>
      <c r="G50" s="54">
        <f>SUMIF(Data_Anomalies!$D$2:$D$81,A50,Data_Anomalies!$I$2:$I$81)</f>
        <v>0</v>
      </c>
      <c r="H50" s="52" t="str">
        <f>IF(F50&gt;=Parameters!$B$3,"HIGH",IF(F50&gt;=Parameters!$B$4,"ELEVATED","LOW"))</f>
        <v>LOW</v>
      </c>
      <c r="I50" s="57">
        <f t="shared" si="6"/>
        <v>0.98190869051086116</v>
      </c>
      <c r="J50" s="54">
        <f>SUMIFS(Data_Anomalies!$I$2:$I$81,Data_Anomalies!$D$2:$D$81,$A50,Data_Anomalies!$C$2:$C$81,J$1)</f>
        <v>0</v>
      </c>
      <c r="K50" s="54">
        <f>SUMIFS(Data_Anomalies!$I$2:$I$81,Data_Anomalies!$D$2:$D$81,$A50,Data_Anomalies!$C$2:$C$81,K$1)</f>
        <v>0</v>
      </c>
      <c r="L50" s="54">
        <f>SUMIFS(Data_Anomalies!$I$2:$I$81,Data_Anomalies!$D$2:$D$81,$A50,Data_Anomalies!$C$2:$C$81,L$1)</f>
        <v>0</v>
      </c>
      <c r="M50" s="54">
        <f>SUMIFS(Data_Anomalies!$I$2:$I$81,Data_Anomalies!$D$2:$D$81,$A50,Data_Anomalies!$C$2:$C$81,M$1)</f>
        <v>0</v>
      </c>
      <c r="N50" s="54">
        <f>SUMIFS(Data_Anomalies!$I$2:$I$81,Data_Anomalies!$D$2:$D$81,$A50,Data_Anomalies!$C$2:$C$81,N$1)</f>
        <v>0</v>
      </c>
      <c r="O50" s="54">
        <f>SUMIFS(Data_Anomalies!$I$2:$I$81,Data_Anomalies!$D$2:$D$81,$A50,Data_Anomalies!$C$2:$C$81,O$1)</f>
        <v>0</v>
      </c>
      <c r="P50" s="52" t="str">
        <f t="shared" si="7"/>
        <v>—</v>
      </c>
    </row>
    <row r="51" spans="1:16" x14ac:dyDescent="0.25">
      <c r="A51" s="52" t="s">
        <v>238</v>
      </c>
      <c r="B51" s="54">
        <v>113895463</v>
      </c>
      <c r="C51" s="54">
        <v>1979</v>
      </c>
      <c r="D51" s="54">
        <f t="shared" si="4"/>
        <v>57552.027791814049</v>
      </c>
      <c r="E51" s="56">
        <f t="shared" si="5"/>
        <v>1.8091309489138788E-2</v>
      </c>
      <c r="F51" s="54">
        <f>COUNTIF(Data_Anomalies!$D$2:$D$81,A51)</f>
        <v>2</v>
      </c>
      <c r="G51" s="54">
        <f>SUMIF(Data_Anomalies!$D$2:$D$81,A51,Data_Anomalies!$I$2:$I$81)</f>
        <v>227516.75</v>
      </c>
      <c r="H51" s="52" t="str">
        <f>IF(F51&gt;=Parameters!$B$3,"HIGH",IF(F51&gt;=Parameters!$B$4,"ELEVATED","LOW"))</f>
        <v>ELEVATED</v>
      </c>
      <c r="I51" s="57">
        <f t="shared" si="6"/>
        <v>1</v>
      </c>
      <c r="J51" s="54">
        <f>SUMIFS(Data_Anomalies!$I$2:$I$81,Data_Anomalies!$D$2:$D$81,$A51,Data_Anomalies!$C$2:$C$81,J$1)</f>
        <v>0</v>
      </c>
      <c r="K51" s="54">
        <f>SUMIFS(Data_Anomalies!$I$2:$I$81,Data_Anomalies!$D$2:$D$81,$A51,Data_Anomalies!$C$2:$C$81,K$1)</f>
        <v>0</v>
      </c>
      <c r="L51" s="54">
        <f>SUMIFS(Data_Anomalies!$I$2:$I$81,Data_Anomalies!$D$2:$D$81,$A51,Data_Anomalies!$C$2:$C$81,L$1)</f>
        <v>0</v>
      </c>
      <c r="M51" s="54">
        <f>SUMIFS(Data_Anomalies!$I$2:$I$81,Data_Anomalies!$D$2:$D$81,$A51,Data_Anomalies!$C$2:$C$81,M$1)</f>
        <v>0</v>
      </c>
      <c r="N51" s="54">
        <f>SUMIFS(Data_Anomalies!$I$2:$I$81,Data_Anomalies!$D$2:$D$81,$A51,Data_Anomalies!$C$2:$C$81,N$1)</f>
        <v>0</v>
      </c>
      <c r="O51" s="54">
        <f>SUMIFS(Data_Anomalies!$I$2:$I$81,Data_Anomalies!$D$2:$D$81,$A51,Data_Anomalies!$C$2:$C$81,O$1)</f>
        <v>227516.75</v>
      </c>
      <c r="P51" s="52" t="str">
        <f t="shared" si="7"/>
        <v>Office Supplies</v>
      </c>
    </row>
    <row r="53" spans="1:16" x14ac:dyDescent="0.25">
      <c r="A53" s="50" t="s">
        <v>297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3" customWidth="1"/>
    <col min="3" max="3" width="11" customWidth="1"/>
    <col min="4" max="4" width="18" customWidth="1"/>
    <col min="5" max="5" width="14" customWidth="1"/>
    <col min="6" max="6" width="20" customWidth="1"/>
    <col min="7" max="7" width="24" customWidth="1"/>
    <col min="8" max="8" width="10" customWidth="1"/>
  </cols>
  <sheetData>
    <row r="1" spans="1:8" x14ac:dyDescent="0.25">
      <c r="A1" s="51" t="s">
        <v>48</v>
      </c>
      <c r="B1" s="51" t="s">
        <v>298</v>
      </c>
      <c r="C1" s="51" t="s">
        <v>277</v>
      </c>
      <c r="D1" s="51" t="s">
        <v>299</v>
      </c>
      <c r="E1" s="51" t="s">
        <v>280</v>
      </c>
      <c r="F1" s="51" t="s">
        <v>281</v>
      </c>
      <c r="G1" s="51" t="s">
        <v>300</v>
      </c>
      <c r="H1" s="51" t="s">
        <v>50</v>
      </c>
    </row>
    <row r="2" spans="1:8" x14ac:dyDescent="0.25">
      <c r="A2" s="52" t="s">
        <v>150</v>
      </c>
      <c r="B2" s="58">
        <v>655</v>
      </c>
      <c r="C2" s="54">
        <v>9887</v>
      </c>
      <c r="D2" s="54">
        <f t="shared" ref="D2:D11" si="0">B2*1000000/C2</f>
        <v>66248.609284919585</v>
      </c>
      <c r="E2" s="54">
        <f>COUNTIF(Data_Anomalies!$G$2:$G$81,A2)</f>
        <v>10</v>
      </c>
      <c r="F2" s="54">
        <f>SUMIF(Data_Anomalies!$G$2:$G$81,A2,Data_Anomalies!$I$2:$I$81)</f>
        <v>37437344.699999996</v>
      </c>
      <c r="G2" s="57">
        <f>F2/SUM(Data_Anomalies!$I$2:$I$81)</f>
        <v>0.19457451792292918</v>
      </c>
      <c r="H2" s="52" t="str">
        <f>IF(E2&gt;=Parameters!$B$5,"HIGH",IF(E2&gt;=Parameters!$B$6,"MEDIUM","LOW"))</f>
        <v>HIGH</v>
      </c>
    </row>
    <row r="3" spans="1:8" x14ac:dyDescent="0.25">
      <c r="A3" s="52" t="s">
        <v>147</v>
      </c>
      <c r="B3" s="58">
        <v>653.70000000000005</v>
      </c>
      <c r="C3" s="54">
        <v>10025</v>
      </c>
      <c r="D3" s="54">
        <f t="shared" si="0"/>
        <v>65206.982543640901</v>
      </c>
      <c r="E3" s="54">
        <f>COUNTIF(Data_Anomalies!$G$2:$G$81,A3)</f>
        <v>8</v>
      </c>
      <c r="F3" s="54">
        <f>SUMIF(Data_Anomalies!$G$2:$G$81,A3,Data_Anomalies!$I$2:$I$81)</f>
        <v>47409539.159999996</v>
      </c>
      <c r="G3" s="57">
        <f>F3/SUM(Data_Anomalies!$I$2:$I$81)</f>
        <v>0.24640337878998222</v>
      </c>
      <c r="H3" s="52" t="str">
        <f>IF(E3&gt;=Parameters!$B$5,"HIGH",IF(E3&gt;=Parameters!$B$6,"MEDIUM","LOW"))</f>
        <v>HIGH</v>
      </c>
    </row>
    <row r="4" spans="1:8" x14ac:dyDescent="0.25">
      <c r="A4" s="52" t="s">
        <v>153</v>
      </c>
      <c r="B4" s="58">
        <v>645.6</v>
      </c>
      <c r="C4" s="54">
        <v>10015</v>
      </c>
      <c r="D4" s="54">
        <f t="shared" si="0"/>
        <v>64463.305042436346</v>
      </c>
      <c r="E4" s="54">
        <f>COUNTIF(Data_Anomalies!$G$2:$G$81,A4)</f>
        <v>8</v>
      </c>
      <c r="F4" s="54">
        <f>SUMIF(Data_Anomalies!$G$2:$G$81,A4,Data_Anomalies!$I$2:$I$81)</f>
        <v>38967941.350000001</v>
      </c>
      <c r="G4" s="57">
        <f>F4/SUM(Data_Anomalies!$I$2:$I$81)</f>
        <v>0.2025295453880101</v>
      </c>
      <c r="H4" s="52" t="str">
        <f>IF(E4&gt;=Parameters!$B$5,"HIGH",IF(E4&gt;=Parameters!$B$6,"MEDIUM","LOW"))</f>
        <v>HIGH</v>
      </c>
    </row>
    <row r="5" spans="1:8" x14ac:dyDescent="0.25">
      <c r="A5" s="52" t="s">
        <v>177</v>
      </c>
      <c r="B5" s="58">
        <v>636.6</v>
      </c>
      <c r="C5" s="54">
        <v>10062</v>
      </c>
      <c r="D5" s="54">
        <f t="shared" si="0"/>
        <v>63267.740011926056</v>
      </c>
      <c r="E5" s="54">
        <f>COUNTIF(Data_Anomalies!$G$2:$G$81,A5)</f>
        <v>8</v>
      </c>
      <c r="F5" s="54">
        <f>SUMIF(Data_Anomalies!$G$2:$G$81,A5,Data_Anomalies!$I$2:$I$81)</f>
        <v>8429281.2899999991</v>
      </c>
      <c r="G5" s="57">
        <f>F5/SUM(Data_Anomalies!$I$2:$I$81)</f>
        <v>4.3809820289912725E-2</v>
      </c>
      <c r="H5" s="52" t="str">
        <f>IF(E5&gt;=Parameters!$B$5,"HIGH",IF(E5&gt;=Parameters!$B$6,"MEDIUM","LOW"))</f>
        <v>HIGH</v>
      </c>
    </row>
    <row r="6" spans="1:8" x14ac:dyDescent="0.25">
      <c r="A6" s="52" t="s">
        <v>179</v>
      </c>
      <c r="B6" s="58">
        <v>631.20000000000005</v>
      </c>
      <c r="C6" s="54">
        <v>10143</v>
      </c>
      <c r="D6" s="54">
        <f t="shared" si="0"/>
        <v>62230.109435078382</v>
      </c>
      <c r="E6" s="54">
        <f>COUNTIF(Data_Anomalies!$G$2:$G$81,A6)</f>
        <v>8</v>
      </c>
      <c r="F6" s="54">
        <f>SUMIF(Data_Anomalies!$G$2:$G$81,A6,Data_Anomalies!$I$2:$I$81)</f>
        <v>5174464.53</v>
      </c>
      <c r="G6" s="57">
        <f>F6/SUM(Data_Anomalies!$I$2:$I$81)</f>
        <v>2.6893438877732333E-2</v>
      </c>
      <c r="H6" s="52" t="str">
        <f>IF(E6&gt;=Parameters!$B$5,"HIGH",IF(E6&gt;=Parameters!$B$6,"MEDIUM","LOW"))</f>
        <v>HIGH</v>
      </c>
    </row>
    <row r="7" spans="1:8" x14ac:dyDescent="0.25">
      <c r="A7" s="52" t="s">
        <v>158</v>
      </c>
      <c r="B7" s="58">
        <v>630.6</v>
      </c>
      <c r="C7" s="54">
        <v>10164</v>
      </c>
      <c r="D7" s="54">
        <f t="shared" si="0"/>
        <v>62042.502951593859</v>
      </c>
      <c r="E7" s="54">
        <f>COUNTIF(Data_Anomalies!$G$2:$G$81,A7)</f>
        <v>8</v>
      </c>
      <c r="F7" s="54">
        <f>SUMIF(Data_Anomalies!$G$2:$G$81,A7,Data_Anomalies!$I$2:$I$81)</f>
        <v>13584968.700000001</v>
      </c>
      <c r="G7" s="57">
        <f>F7/SUM(Data_Anomalies!$I$2:$I$81)</f>
        <v>7.0605668136516697E-2</v>
      </c>
      <c r="H7" s="52" t="str">
        <f>IF(E7&gt;=Parameters!$B$5,"HIGH",IF(E7&gt;=Parameters!$B$6,"MEDIUM","LOW"))</f>
        <v>HIGH</v>
      </c>
    </row>
    <row r="8" spans="1:8" x14ac:dyDescent="0.25">
      <c r="A8" s="52" t="s">
        <v>166</v>
      </c>
      <c r="B8" s="58">
        <v>616.20000000000005</v>
      </c>
      <c r="C8" s="54">
        <v>9946</v>
      </c>
      <c r="D8" s="54">
        <f t="shared" si="0"/>
        <v>61954.554594811983</v>
      </c>
      <c r="E8" s="54">
        <f>COUNTIF(Data_Anomalies!$G$2:$G$81,A8)</f>
        <v>10</v>
      </c>
      <c r="F8" s="54">
        <f>SUMIF(Data_Anomalies!$G$2:$G$81,A8,Data_Anomalies!$I$2:$I$81)</f>
        <v>16359616.709999999</v>
      </c>
      <c r="G8" s="57">
        <f>F8/SUM(Data_Anomalies!$I$2:$I$81)</f>
        <v>8.5026450467042519E-2</v>
      </c>
      <c r="H8" s="52" t="str">
        <f>IF(E8&gt;=Parameters!$B$5,"HIGH",IF(E8&gt;=Parameters!$B$6,"MEDIUM","LOW"))</f>
        <v>HIGH</v>
      </c>
    </row>
    <row r="9" spans="1:8" x14ac:dyDescent="0.25">
      <c r="A9" s="52" t="s">
        <v>184</v>
      </c>
      <c r="B9" s="58">
        <v>615.6</v>
      </c>
      <c r="C9" s="54">
        <v>9817</v>
      </c>
      <c r="D9" s="54">
        <f t="shared" si="0"/>
        <v>62707.548130793519</v>
      </c>
      <c r="E9" s="54">
        <f>COUNTIF(Data_Anomalies!$G$2:$G$81,A9)</f>
        <v>9</v>
      </c>
      <c r="F9" s="54">
        <f>SUMIF(Data_Anomalies!$G$2:$G$81,A9,Data_Anomalies!$I$2:$I$81)</f>
        <v>5630451.7600000007</v>
      </c>
      <c r="G9" s="57">
        <f>F9/SUM(Data_Anomalies!$I$2:$I$81)</f>
        <v>2.9263358437125173E-2</v>
      </c>
      <c r="H9" s="52" t="str">
        <f>IF(E9&gt;=Parameters!$B$5,"HIGH",IF(E9&gt;=Parameters!$B$6,"MEDIUM","LOW"))</f>
        <v>HIGH</v>
      </c>
    </row>
    <row r="10" spans="1:8" x14ac:dyDescent="0.25">
      <c r="A10" s="52" t="s">
        <v>161</v>
      </c>
      <c r="B10" s="58">
        <v>614</v>
      </c>
      <c r="C10" s="54">
        <v>10062</v>
      </c>
      <c r="D10" s="54">
        <f t="shared" si="0"/>
        <v>61021.665672828465</v>
      </c>
      <c r="E10" s="54">
        <f>COUNTIF(Data_Anomalies!$G$2:$G$81,A10)</f>
        <v>7</v>
      </c>
      <c r="F10" s="54">
        <f>SUMIF(Data_Anomalies!$G$2:$G$81,A10,Data_Anomalies!$I$2:$I$81)</f>
        <v>18629954.300000004</v>
      </c>
      <c r="G10" s="57">
        <f>F10/SUM(Data_Anomalies!$I$2:$I$81)</f>
        <v>9.6826161307554032E-2</v>
      </c>
      <c r="H10" s="52" t="str">
        <f>IF(E10&gt;=Parameters!$B$5,"HIGH",IF(E10&gt;=Parameters!$B$6,"MEDIUM","LOW"))</f>
        <v>MEDIUM</v>
      </c>
    </row>
    <row r="11" spans="1:8" x14ac:dyDescent="0.25">
      <c r="A11" s="52" t="s">
        <v>216</v>
      </c>
      <c r="B11" s="58">
        <v>597</v>
      </c>
      <c r="C11" s="54">
        <v>9879</v>
      </c>
      <c r="D11" s="54">
        <f t="shared" si="0"/>
        <v>60431.217734588521</v>
      </c>
      <c r="E11" s="54">
        <f>COUNTIF(Data_Anomalies!$G$2:$G$81,A11)</f>
        <v>4</v>
      </c>
      <c r="F11" s="54">
        <f>SUMIF(Data_Anomalies!$G$2:$G$81,A11,Data_Anomalies!$I$2:$I$81)</f>
        <v>782643.10000000009</v>
      </c>
      <c r="G11" s="57">
        <f>F11/SUM(Data_Anomalies!$I$2:$I$81)</f>
        <v>4.0676603831950424E-3</v>
      </c>
      <c r="H11" s="52" t="str">
        <f>IF(E11&gt;=Parameters!$B$5,"HIGH",IF(E11&gt;=Parameters!$B$6,"MEDIUM","LOW"))</f>
        <v>LOW</v>
      </c>
    </row>
    <row r="13" spans="1:8" x14ac:dyDescent="0.25">
      <c r="A13" s="50" t="s">
        <v>301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3" width="17" customWidth="1"/>
    <col min="4" max="4" width="18" customWidth="1"/>
    <col min="5" max="5" width="9" customWidth="1"/>
    <col min="6" max="6" width="11" customWidth="1"/>
    <col min="7" max="7" width="14" customWidth="1"/>
    <col min="8" max="8" width="22" customWidth="1"/>
  </cols>
  <sheetData>
    <row r="1" spans="1:8" x14ac:dyDescent="0.25">
      <c r="A1" s="51" t="s">
        <v>17</v>
      </c>
      <c r="B1" s="51" t="s">
        <v>302</v>
      </c>
      <c r="C1" s="51" t="s">
        <v>303</v>
      </c>
      <c r="D1" s="51" t="s">
        <v>304</v>
      </c>
      <c r="E1" s="51" t="s">
        <v>19</v>
      </c>
      <c r="F1" s="51" t="s">
        <v>305</v>
      </c>
      <c r="G1" s="51" t="s">
        <v>306</v>
      </c>
      <c r="H1" s="51" t="s">
        <v>307</v>
      </c>
    </row>
    <row r="2" spans="1:8" x14ac:dyDescent="0.25">
      <c r="A2" s="52" t="s">
        <v>145</v>
      </c>
      <c r="B2" s="58">
        <v>2025.35</v>
      </c>
      <c r="C2" s="58">
        <v>1974.23</v>
      </c>
      <c r="D2" s="58">
        <f t="shared" ref="D2:D7" si="0">B2+C2</f>
        <v>3999.58</v>
      </c>
      <c r="E2" s="57">
        <f t="shared" ref="E2:E7" si="1">D2/SUM($D$2:$D$7)</f>
        <v>0.63530775951076146</v>
      </c>
      <c r="F2" s="59">
        <f t="shared" ref="F2:F7" si="2">C2/B2-1</f>
        <v>-2.5240081961142469E-2</v>
      </c>
      <c r="G2" s="60">
        <f t="shared" ref="G2:G7" si="3">C2-B2</f>
        <v>-51.119999999999891</v>
      </c>
      <c r="H2" s="60">
        <f>C2-B2*(1+Parameters!$B$2)</f>
        <v>-122.00724999999966</v>
      </c>
    </row>
    <row r="3" spans="1:8" x14ac:dyDescent="0.25">
      <c r="A3" s="52" t="s">
        <v>157</v>
      </c>
      <c r="B3" s="58">
        <v>589.07000000000005</v>
      </c>
      <c r="C3" s="58">
        <v>629.79</v>
      </c>
      <c r="D3" s="58">
        <f t="shared" si="0"/>
        <v>1218.8600000000001</v>
      </c>
      <c r="E3" s="57">
        <f t="shared" si="1"/>
        <v>0.193608132793265</v>
      </c>
      <c r="F3" s="59">
        <f t="shared" si="2"/>
        <v>6.9125910333236895E-2</v>
      </c>
      <c r="G3" s="60">
        <f t="shared" si="3"/>
        <v>40.719999999999914</v>
      </c>
      <c r="H3" s="60">
        <f>C3-B3*(1+Parameters!$B$2)</f>
        <v>20.102549999999951</v>
      </c>
    </row>
    <row r="4" spans="1:8" x14ac:dyDescent="0.25">
      <c r="A4" s="52" t="s">
        <v>168</v>
      </c>
      <c r="B4" s="58">
        <v>315.02999999999997</v>
      </c>
      <c r="C4" s="58">
        <v>316.86</v>
      </c>
      <c r="D4" s="58">
        <f t="shared" si="0"/>
        <v>631.89</v>
      </c>
      <c r="E4" s="57">
        <f t="shared" si="1"/>
        <v>0.10037169406719082</v>
      </c>
      <c r="F4" s="59">
        <f t="shared" si="2"/>
        <v>5.8089705742312425E-3</v>
      </c>
      <c r="G4" s="60">
        <f t="shared" si="3"/>
        <v>1.8300000000000409</v>
      </c>
      <c r="H4" s="60">
        <f>C4-B4*(1+Parameters!$B$2)</f>
        <v>-9.196049999999957</v>
      </c>
    </row>
    <row r="5" spans="1:8" x14ac:dyDescent="0.25">
      <c r="A5" s="52" t="s">
        <v>81</v>
      </c>
      <c r="B5" s="58">
        <v>118.05</v>
      </c>
      <c r="C5" s="58">
        <v>122.34</v>
      </c>
      <c r="D5" s="58">
        <f t="shared" si="0"/>
        <v>240.39</v>
      </c>
      <c r="E5" s="57">
        <f t="shared" si="1"/>
        <v>3.8184417441029295E-2</v>
      </c>
      <c r="F5" s="59">
        <f t="shared" si="2"/>
        <v>3.6340533672172937E-2</v>
      </c>
      <c r="G5" s="60">
        <f t="shared" si="3"/>
        <v>4.2900000000000063</v>
      </c>
      <c r="H5" s="60">
        <f>C5-B5*(1+Parameters!$B$2)</f>
        <v>0.15825000000000955</v>
      </c>
    </row>
    <row r="6" spans="1:8" x14ac:dyDescent="0.25">
      <c r="A6" s="52" t="s">
        <v>79</v>
      </c>
      <c r="B6" s="58">
        <v>82.54</v>
      </c>
      <c r="C6" s="58">
        <v>82.35</v>
      </c>
      <c r="D6" s="58">
        <f t="shared" si="0"/>
        <v>164.89</v>
      </c>
      <c r="E6" s="57">
        <f t="shared" si="1"/>
        <v>2.6191724247478346E-2</v>
      </c>
      <c r="F6" s="59">
        <f t="shared" si="2"/>
        <v>-2.3019142234069756E-3</v>
      </c>
      <c r="G6" s="60">
        <f t="shared" si="3"/>
        <v>-0.19000000000001194</v>
      </c>
      <c r="H6" s="60">
        <f>C6-B6*(1+Parameters!$B$2)</f>
        <v>-3.0789000000000044</v>
      </c>
    </row>
    <row r="7" spans="1:8" x14ac:dyDescent="0.25">
      <c r="A7" s="52" t="s">
        <v>77</v>
      </c>
      <c r="B7" s="58">
        <v>19.989999999999998</v>
      </c>
      <c r="C7" s="58">
        <v>19.899999999999999</v>
      </c>
      <c r="D7" s="58">
        <f t="shared" si="0"/>
        <v>39.89</v>
      </c>
      <c r="E7" s="57">
        <f t="shared" si="1"/>
        <v>6.3362719402747973E-3</v>
      </c>
      <c r="F7" s="59">
        <f t="shared" si="2"/>
        <v>-4.5022511255627951E-3</v>
      </c>
      <c r="G7" s="60">
        <f t="shared" si="3"/>
        <v>-8.9999999999999858E-2</v>
      </c>
      <c r="H7" s="60">
        <f>C7-B7*(1+Parameters!$B$2)</f>
        <v>-0.78964999999999819</v>
      </c>
    </row>
    <row r="9" spans="1:8" x14ac:dyDescent="0.25">
      <c r="A9" s="50" t="s">
        <v>308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3" width="17" customWidth="1"/>
    <col min="4" max="4" width="14" customWidth="1"/>
    <col min="5" max="5" width="12" customWidth="1"/>
  </cols>
  <sheetData>
    <row r="1" spans="1:5" x14ac:dyDescent="0.25">
      <c r="A1" s="51" t="s">
        <v>36</v>
      </c>
      <c r="B1" s="51" t="s">
        <v>302</v>
      </c>
      <c r="C1" s="51" t="s">
        <v>303</v>
      </c>
      <c r="D1" s="51" t="s">
        <v>306</v>
      </c>
      <c r="E1" s="51" t="s">
        <v>309</v>
      </c>
    </row>
    <row r="2" spans="1:5" x14ac:dyDescent="0.25">
      <c r="A2" s="52" t="s">
        <v>310</v>
      </c>
      <c r="B2" s="58">
        <v>256.8</v>
      </c>
      <c r="C2" s="58">
        <v>261.10000000000002</v>
      </c>
      <c r="D2" s="60">
        <f t="shared" ref="D2:D13" si="0">C2-B2</f>
        <v>4.3000000000000114</v>
      </c>
      <c r="E2" s="59">
        <f t="shared" ref="E2:E13" si="1">C2/B2-1</f>
        <v>1.6744548286604433E-2</v>
      </c>
    </row>
    <row r="3" spans="1:5" x14ac:dyDescent="0.25">
      <c r="A3" s="52" t="s">
        <v>311</v>
      </c>
      <c r="B3" s="58">
        <v>239.6</v>
      </c>
      <c r="C3" s="58">
        <v>236.1</v>
      </c>
      <c r="D3" s="60">
        <f t="shared" si="0"/>
        <v>-3.5</v>
      </c>
      <c r="E3" s="59">
        <f t="shared" si="1"/>
        <v>-1.4607679465776346E-2</v>
      </c>
    </row>
    <row r="4" spans="1:5" x14ac:dyDescent="0.25">
      <c r="A4" s="52" t="s">
        <v>312</v>
      </c>
      <c r="B4" s="58">
        <v>262.39999999999998</v>
      </c>
      <c r="C4" s="58">
        <v>282</v>
      </c>
      <c r="D4" s="60">
        <f t="shared" si="0"/>
        <v>19.600000000000023</v>
      </c>
      <c r="E4" s="59">
        <f t="shared" si="1"/>
        <v>7.4695121951219523E-2</v>
      </c>
    </row>
    <row r="5" spans="1:5" x14ac:dyDescent="0.25">
      <c r="A5" s="52" t="s">
        <v>313</v>
      </c>
      <c r="B5" s="58">
        <v>244.1</v>
      </c>
      <c r="C5" s="58">
        <v>255.5</v>
      </c>
      <c r="D5" s="60">
        <f t="shared" si="0"/>
        <v>11.400000000000006</v>
      </c>
      <c r="E5" s="59">
        <f t="shared" si="1"/>
        <v>4.6702171241294499E-2</v>
      </c>
    </row>
    <row r="6" spans="1:5" x14ac:dyDescent="0.25">
      <c r="A6" s="52" t="s">
        <v>314</v>
      </c>
      <c r="B6" s="58">
        <v>260</v>
      </c>
      <c r="C6" s="58">
        <v>271.3</v>
      </c>
      <c r="D6" s="60">
        <f t="shared" si="0"/>
        <v>11.300000000000011</v>
      </c>
      <c r="E6" s="59">
        <f t="shared" si="1"/>
        <v>4.346153846153844E-2</v>
      </c>
    </row>
    <row r="7" spans="1:5" x14ac:dyDescent="0.25">
      <c r="A7" s="52" t="s">
        <v>315</v>
      </c>
      <c r="B7" s="58">
        <v>255.6</v>
      </c>
      <c r="C7" s="58">
        <v>254.9</v>
      </c>
      <c r="D7" s="60">
        <f t="shared" si="0"/>
        <v>-0.69999999999998863</v>
      </c>
      <c r="E7" s="59">
        <f t="shared" si="1"/>
        <v>-2.7386541471048353E-3</v>
      </c>
    </row>
    <row r="8" spans="1:5" x14ac:dyDescent="0.25">
      <c r="A8" s="52" t="s">
        <v>316</v>
      </c>
      <c r="B8" s="58">
        <v>260.39999999999998</v>
      </c>
      <c r="C8" s="58">
        <v>262.8</v>
      </c>
      <c r="D8" s="60">
        <f t="shared" si="0"/>
        <v>2.4000000000000341</v>
      </c>
      <c r="E8" s="59">
        <f t="shared" si="1"/>
        <v>9.2165898617513342E-3</v>
      </c>
    </row>
    <row r="9" spans="1:5" x14ac:dyDescent="0.25">
      <c r="A9" s="52" t="s">
        <v>317</v>
      </c>
      <c r="B9" s="58">
        <v>290.8</v>
      </c>
      <c r="C9" s="58">
        <v>272.5</v>
      </c>
      <c r="D9" s="60">
        <f t="shared" si="0"/>
        <v>-18.300000000000011</v>
      </c>
      <c r="E9" s="59">
        <f t="shared" si="1"/>
        <v>-6.2929848693260015E-2</v>
      </c>
    </row>
    <row r="10" spans="1:5" x14ac:dyDescent="0.25">
      <c r="A10" s="52" t="s">
        <v>318</v>
      </c>
      <c r="B10" s="58">
        <v>302.89999999999998</v>
      </c>
      <c r="C10" s="58">
        <v>261.10000000000002</v>
      </c>
      <c r="D10" s="60">
        <f t="shared" si="0"/>
        <v>-41.799999999999955</v>
      </c>
      <c r="E10" s="59">
        <f t="shared" si="1"/>
        <v>-0.13799933971607781</v>
      </c>
    </row>
    <row r="11" spans="1:5" x14ac:dyDescent="0.25">
      <c r="A11" s="52" t="s">
        <v>319</v>
      </c>
      <c r="B11" s="58">
        <v>264.2</v>
      </c>
      <c r="C11" s="58">
        <v>270.2</v>
      </c>
      <c r="D11" s="60">
        <f t="shared" si="0"/>
        <v>6</v>
      </c>
      <c r="E11" s="59">
        <f t="shared" si="1"/>
        <v>2.2710068130204375E-2</v>
      </c>
    </row>
    <row r="12" spans="1:5" x14ac:dyDescent="0.25">
      <c r="A12" s="52" t="s">
        <v>320</v>
      </c>
      <c r="B12" s="58">
        <v>255.9</v>
      </c>
      <c r="C12" s="58">
        <v>261.89999999999998</v>
      </c>
      <c r="D12" s="60">
        <f t="shared" si="0"/>
        <v>5.9999999999999716</v>
      </c>
      <c r="E12" s="59">
        <f t="shared" si="1"/>
        <v>2.3446658851113522E-2</v>
      </c>
    </row>
    <row r="13" spans="1:5" x14ac:dyDescent="0.25">
      <c r="A13" s="52" t="s">
        <v>321</v>
      </c>
      <c r="B13" s="58">
        <v>257.2</v>
      </c>
      <c r="C13" s="58">
        <v>255.9</v>
      </c>
      <c r="D13" s="60">
        <f t="shared" si="0"/>
        <v>-1.2999999999999829</v>
      </c>
      <c r="E13" s="59">
        <f t="shared" si="1"/>
        <v>-5.0544323483669995E-3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zoomScaleNormal="100" workbookViewId="0">
      <pane ySplit="1" topLeftCell="A2" activePane="bottomLeft" state="frozen"/>
      <selection pane="bottomLeft" activeCell="N56" sqref="N56"/>
    </sheetView>
  </sheetViews>
  <sheetFormatPr defaultColWidth="8.7109375" defaultRowHeight="15" x14ac:dyDescent="0.25"/>
  <cols>
    <col min="1" max="1" width="22" customWidth="1"/>
    <col min="2" max="2" width="16" customWidth="1"/>
    <col min="3" max="3" width="15" customWidth="1"/>
    <col min="4" max="4" width="22" customWidth="1"/>
    <col min="5" max="5" width="10" customWidth="1"/>
  </cols>
  <sheetData>
    <row r="1" spans="1:5" x14ac:dyDescent="0.25">
      <c r="A1" s="51" t="s">
        <v>17</v>
      </c>
      <c r="B1" s="51" t="s">
        <v>322</v>
      </c>
      <c r="C1" s="51" t="s">
        <v>323</v>
      </c>
      <c r="D1" s="51" t="s">
        <v>324</v>
      </c>
      <c r="E1" s="51" t="s">
        <v>34</v>
      </c>
    </row>
    <row r="2" spans="1:5" x14ac:dyDescent="0.25">
      <c r="A2" s="52" t="s">
        <v>145</v>
      </c>
      <c r="B2" s="54">
        <v>76</v>
      </c>
      <c r="C2" s="55">
        <v>40.47</v>
      </c>
      <c r="D2" s="54">
        <v>7213</v>
      </c>
      <c r="E2" s="52" t="str">
        <f>IF(C2&gt;=Parameters!$B$7,"HIGH",IF(C2&gt;=Parameters!$B$8,"MEDIUM","LOW"))</f>
        <v>HIGH</v>
      </c>
    </row>
    <row r="3" spans="1:5" x14ac:dyDescent="0.25">
      <c r="A3" s="52" t="s">
        <v>168</v>
      </c>
      <c r="B3" s="54">
        <v>166</v>
      </c>
      <c r="C3" s="55">
        <v>9.5</v>
      </c>
      <c r="D3" s="54">
        <v>1031</v>
      </c>
      <c r="E3" s="52" t="str">
        <f>IF(C3&gt;=Parameters!$B$7,"HIGH",IF(C3&gt;=Parameters!$B$8,"MEDIUM","LOW"))</f>
        <v>MEDIUM</v>
      </c>
    </row>
    <row r="4" spans="1:5" x14ac:dyDescent="0.25">
      <c r="A4" s="52" t="s">
        <v>157</v>
      </c>
      <c r="B4" s="54">
        <v>27</v>
      </c>
      <c r="C4" s="55">
        <v>9.68</v>
      </c>
      <c r="D4" s="54">
        <v>2262</v>
      </c>
      <c r="E4" s="52" t="str">
        <f>IF(C4&gt;=Parameters!$B$7,"HIGH",IF(C4&gt;=Parameters!$B$8,"MEDIUM","LOW"))</f>
        <v>MEDIUM</v>
      </c>
    </row>
    <row r="5" spans="1:5" x14ac:dyDescent="0.25">
      <c r="A5" s="52" t="s">
        <v>81</v>
      </c>
      <c r="B5" s="54">
        <v>13</v>
      </c>
      <c r="C5" s="55">
        <v>3.02</v>
      </c>
      <c r="D5" s="54">
        <v>510</v>
      </c>
      <c r="E5" s="52" t="str">
        <f>IF(C5&gt;=Parameters!$B$7,"HIGH",IF(C5&gt;=Parameters!$B$8,"MEDIUM","LOW"))</f>
        <v>LOW</v>
      </c>
    </row>
    <row r="6" spans="1:5" x14ac:dyDescent="0.25">
      <c r="A6" s="52" t="s">
        <v>79</v>
      </c>
      <c r="B6" s="54">
        <v>10</v>
      </c>
      <c r="C6" s="55">
        <v>0.83</v>
      </c>
      <c r="D6" s="54">
        <v>320</v>
      </c>
      <c r="E6" s="52" t="str">
        <f>IF(C6&gt;=Parameters!$B$7,"HIGH",IF(C6&gt;=Parameters!$B$8,"MEDIUM","LOW"))</f>
        <v>LOW</v>
      </c>
    </row>
    <row r="7" spans="1:5" x14ac:dyDescent="0.25">
      <c r="A7" s="52" t="s">
        <v>77</v>
      </c>
      <c r="B7" s="54">
        <v>12</v>
      </c>
      <c r="C7" s="55">
        <v>0.39</v>
      </c>
      <c r="D7" s="54">
        <v>82</v>
      </c>
      <c r="E7" s="52" t="str">
        <f>IF(C7&gt;=Parameters!$B$7,"HIGH",IF(C7&gt;=Parameters!$B$8,"MEDIUM","LOW"))</f>
        <v>LOW</v>
      </c>
    </row>
    <row r="9" spans="1:5" x14ac:dyDescent="0.25">
      <c r="A9" s="50" t="s">
        <v>325</v>
      </c>
    </row>
    <row r="11" spans="1:5" x14ac:dyDescent="0.25">
      <c r="A11" s="61" t="s">
        <v>326</v>
      </c>
    </row>
    <row r="12" spans="1:5" x14ac:dyDescent="0.25">
      <c r="A12" s="46" t="s">
        <v>327</v>
      </c>
      <c r="B12" s="62">
        <v>100000</v>
      </c>
    </row>
    <row r="13" spans="1:5" x14ac:dyDescent="0.25">
      <c r="A13" s="46" t="s">
        <v>328</v>
      </c>
      <c r="B13" s="62">
        <v>2177</v>
      </c>
    </row>
    <row r="14" spans="1:5" x14ac:dyDescent="0.25">
      <c r="A14" s="46" t="s">
        <v>329</v>
      </c>
      <c r="B14" s="63">
        <v>284.89999999999998</v>
      </c>
    </row>
    <row r="15" spans="1:5" x14ac:dyDescent="0.25">
      <c r="A15" s="50" t="s">
        <v>330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H42"/>
  <sheetViews>
    <sheetView zoomScaleNormal="100" workbookViewId="0"/>
  </sheetViews>
  <sheetFormatPr defaultColWidth="8.7109375" defaultRowHeight="15" x14ac:dyDescent="0.25"/>
  <cols>
    <col min="1" max="1" width="46" customWidth="1"/>
    <col min="2" max="2" width="18" customWidth="1"/>
    <col min="4" max="4" width="22" customWidth="1"/>
    <col min="5" max="5" width="14" customWidth="1"/>
    <col min="6" max="7" width="15" customWidth="1"/>
    <col min="8" max="8" width="17" customWidth="1"/>
  </cols>
  <sheetData>
    <row r="1" spans="1:8" x14ac:dyDescent="0.25">
      <c r="A1" s="45" t="s">
        <v>331</v>
      </c>
      <c r="B1" s="45" t="s">
        <v>116</v>
      </c>
      <c r="D1" s="64" t="s">
        <v>17</v>
      </c>
      <c r="E1" s="64" t="s">
        <v>332</v>
      </c>
      <c r="F1" s="64" t="s">
        <v>333</v>
      </c>
      <c r="G1" s="64" t="s">
        <v>334</v>
      </c>
      <c r="H1" s="64" t="s">
        <v>335</v>
      </c>
    </row>
    <row r="2" spans="1:8" x14ac:dyDescent="0.25">
      <c r="A2" s="46" t="s">
        <v>336</v>
      </c>
      <c r="B2" s="65">
        <f>SUM(Data_Suppliers!$B$2:$B$51)</f>
        <v>6295589773</v>
      </c>
      <c r="D2" s="46" t="s">
        <v>145</v>
      </c>
      <c r="E2" s="46">
        <f>COUNTIFS(Data_Anomalies!$C$2:$C$81,$D2,Data_Anomalies!$H$2:$H$81,"Price anomaly")</f>
        <v>6</v>
      </c>
      <c r="F2" s="46">
        <f>COUNTIFS(Data_Anomalies!$C$2:$C$81,$D2,Data_Anomalies!$H$2:$H$81,"Quantity anomaly")</f>
        <v>5</v>
      </c>
      <c r="G2" s="66">
        <f>SUMIFS(Data_Anomalies!$I$2:$I$81,Data_Anomalies!$C$2:$C$81,$D2,Data_Anomalies!$H$2:$H$81,"Price anomaly")/1000000</f>
        <v>14.650048230000001</v>
      </c>
      <c r="H2" s="66">
        <f>SUMIFS(Data_Anomalies!$I$2:$I$81,Data_Anomalies!$C$2:$C$81,$D2,Data_Anomalies!$H$2:$H$81,"Quantity anomaly")/1000000</f>
        <v>95.911849000000004</v>
      </c>
    </row>
    <row r="3" spans="1:8" x14ac:dyDescent="0.25">
      <c r="A3" s="46" t="s">
        <v>337</v>
      </c>
      <c r="B3" s="65">
        <f>Data_Outliers!$B$12</f>
        <v>100000</v>
      </c>
      <c r="D3" s="46" t="s">
        <v>157</v>
      </c>
      <c r="E3" s="46">
        <f>COUNTIFS(Data_Anomalies!$C$2:$C$81,$D3,Data_Anomalies!$H$2:$H$81,"Price anomaly")</f>
        <v>7</v>
      </c>
      <c r="F3" s="46">
        <f>COUNTIFS(Data_Anomalies!$C$2:$C$81,$D3,Data_Anomalies!$H$2:$H$81,"Quantity anomaly")</f>
        <v>6</v>
      </c>
      <c r="G3" s="66">
        <f>SUMIFS(Data_Anomalies!$I$2:$I$81,Data_Anomalies!$C$2:$C$81,$D3,Data_Anomalies!$H$2:$H$81,"Price anomaly")/1000000</f>
        <v>7.5635870599999997</v>
      </c>
      <c r="H3" s="66">
        <f>SUMIFS(Data_Anomalies!$I$2:$I$81,Data_Anomalies!$C$2:$C$81,$D3,Data_Anomalies!$H$2:$H$81,"Quantity anomaly")/1000000</f>
        <v>44.363703999999998</v>
      </c>
    </row>
    <row r="4" spans="1:8" x14ac:dyDescent="0.25">
      <c r="A4" s="46" t="s">
        <v>338</v>
      </c>
      <c r="B4" s="65">
        <f>COUNTA(Data_Suppliers!$A$2:$A$51)</f>
        <v>50</v>
      </c>
      <c r="D4" s="46" t="s">
        <v>168</v>
      </c>
      <c r="E4" s="46">
        <f>COUNTIFS(Data_Anomalies!$C$2:$C$81,$D4,Data_Anomalies!$H$2:$H$81,"Price anomaly")</f>
        <v>2</v>
      </c>
      <c r="F4" s="46">
        <f>COUNTIFS(Data_Anomalies!$C$2:$C$81,$D4,Data_Anomalies!$H$2:$H$81,"Quantity anomaly")</f>
        <v>3</v>
      </c>
      <c r="G4" s="66">
        <f>SUMIFS(Data_Anomalies!$I$2:$I$81,Data_Anomalies!$C$2:$C$81,$D4,Data_Anomalies!$H$2:$H$81,"Price anomaly")/1000000</f>
        <v>0.45500036999999999</v>
      </c>
      <c r="H4" s="66">
        <f>SUMIFS(Data_Anomalies!$I$2:$I$81,Data_Anomalies!$C$2:$C$81,$D4,Data_Anomalies!$H$2:$H$81,"Quantity anomaly")/1000000</f>
        <v>10.623082</v>
      </c>
    </row>
    <row r="5" spans="1:8" x14ac:dyDescent="0.25">
      <c r="A5" s="46" t="s">
        <v>339</v>
      </c>
      <c r="B5" s="65">
        <f>COUNTA(Data_Buyers!$A$2:$A$11)</f>
        <v>10</v>
      </c>
      <c r="D5" s="46" t="s">
        <v>81</v>
      </c>
      <c r="E5" s="46">
        <f>COUNTIFS(Data_Anomalies!$C$2:$C$81,$D5,Data_Anomalies!$H$2:$H$81,"Price anomaly")</f>
        <v>13</v>
      </c>
      <c r="F5" s="46">
        <f>COUNTIFS(Data_Anomalies!$C$2:$C$81,$D5,Data_Anomalies!$H$2:$H$81,"Quantity anomaly")</f>
        <v>4</v>
      </c>
      <c r="G5" s="66">
        <f>SUMIFS(Data_Anomalies!$I$2:$I$81,Data_Anomalies!$C$2:$C$81,$D5,Data_Anomalies!$H$2:$H$81,"Price anomaly")/1000000</f>
        <v>3.0265871500000001</v>
      </c>
      <c r="H5" s="66">
        <f>SUMIFS(Data_Anomalies!$I$2:$I$81,Data_Anomalies!$C$2:$C$81,$D5,Data_Anomalies!$H$2:$H$81,"Quantity anomaly")/1000000</f>
        <v>7.4504520000000003</v>
      </c>
    </row>
    <row r="6" spans="1:8" x14ac:dyDescent="0.25">
      <c r="A6" s="46" t="s">
        <v>340</v>
      </c>
      <c r="B6" s="65">
        <f>COUNTA(Data_Anomalies!$A$2:$A$81)</f>
        <v>80</v>
      </c>
      <c r="D6" s="46" t="s">
        <v>79</v>
      </c>
      <c r="E6" s="46">
        <f>COUNTIFS(Data_Anomalies!$C$2:$C$81,$D6,Data_Anomalies!$H$2:$H$81,"Price anomaly")</f>
        <v>10</v>
      </c>
      <c r="F6" s="46">
        <f>COUNTIFS(Data_Anomalies!$C$2:$C$81,$D6,Data_Anomalies!$H$2:$H$81,"Quantity anomaly")</f>
        <v>7</v>
      </c>
      <c r="G6" s="66">
        <f>SUMIFS(Data_Anomalies!$I$2:$I$81,Data_Anomalies!$C$2:$C$81,$D6,Data_Anomalies!$H$2:$H$81,"Price anomaly")/1000000</f>
        <v>0.82894886999999995</v>
      </c>
      <c r="H6" s="66">
        <f>SUMIFS(Data_Anomalies!$I$2:$I$81,Data_Anomalies!$C$2:$C$81,$D6,Data_Anomalies!$H$2:$H$81,"Quantity anomaly")/1000000</f>
        <v>5.8048630000000001</v>
      </c>
    </row>
    <row r="7" spans="1:8" x14ac:dyDescent="0.25">
      <c r="A7" s="46" t="s">
        <v>341</v>
      </c>
      <c r="B7" s="65">
        <f>SUM(Data_Anomalies!$I$2:$I$81)</f>
        <v>192406205.59999999</v>
      </c>
      <c r="D7" s="46" t="s">
        <v>77</v>
      </c>
      <c r="E7" s="46">
        <f>COUNTIFS(Data_Anomalies!$C$2:$C$81,$D7,Data_Anomalies!$H$2:$H$81,"Price anomaly")</f>
        <v>12</v>
      </c>
      <c r="F7" s="46">
        <f>COUNTIFS(Data_Anomalies!$C$2:$C$81,$D7,Data_Anomalies!$H$2:$H$81,"Quantity anomaly")</f>
        <v>5</v>
      </c>
      <c r="G7" s="66">
        <f>SUMIFS(Data_Anomalies!$I$2:$I$81,Data_Anomalies!$C$2:$C$81,$D7,Data_Anomalies!$H$2:$H$81,"Price anomaly")/1000000</f>
        <v>0.39413992000000009</v>
      </c>
      <c r="H7" s="66">
        <f>SUMIFS(Data_Anomalies!$I$2:$I$81,Data_Anomalies!$C$2:$C$81,$D7,Data_Anomalies!$H$2:$H$81,"Quantity anomaly")/1000000</f>
        <v>1.333944</v>
      </c>
    </row>
    <row r="8" spans="1:8" x14ac:dyDescent="0.25">
      <c r="A8" s="46" t="s">
        <v>342</v>
      </c>
      <c r="B8" s="67">
        <f>B7/B2</f>
        <v>3.0562062100230176E-2</v>
      </c>
    </row>
    <row r="9" spans="1:8" x14ac:dyDescent="0.25">
      <c r="A9" s="46" t="s">
        <v>343</v>
      </c>
      <c r="B9" s="65">
        <f>MAX(Data_Anomalies!$I$2:$I$81)</f>
        <v>38213365</v>
      </c>
    </row>
    <row r="10" spans="1:8" x14ac:dyDescent="0.25">
      <c r="A10" s="46" t="s">
        <v>344</v>
      </c>
      <c r="B10" s="46">
        <f>MATCH(B9,Data_Anomalies!$I$2:$I$81,0)</f>
        <v>1</v>
      </c>
      <c r="D10" s="61" t="s">
        <v>345</v>
      </c>
      <c r="E10" s="68" t="s">
        <v>346</v>
      </c>
      <c r="G10" s="68" t="s">
        <v>347</v>
      </c>
    </row>
    <row r="11" spans="1:8" x14ac:dyDescent="0.25">
      <c r="A11" s="46" t="s">
        <v>348</v>
      </c>
      <c r="B11" s="46" t="str">
        <f>INDEX(Data_Anomalies!$A$2:$A$81,B10)</f>
        <v>PO-817370</v>
      </c>
      <c r="D11" s="46" t="s">
        <v>28</v>
      </c>
      <c r="E11" s="46" t="str">
        <f>INDEX($D$2:$D$7,MATCH(MAX($E$2:$E$7),$E$2:$E$7,0))</f>
        <v>Logistics</v>
      </c>
      <c r="G11" s="46" t="str">
        <f>INDEX($D$2:$D$7,MATCH(MAX($G$2:$G$7),$G$2:$G$7,0))</f>
        <v>IT Hardware</v>
      </c>
    </row>
    <row r="12" spans="1:8" x14ac:dyDescent="0.25">
      <c r="A12" s="46" t="s">
        <v>349</v>
      </c>
      <c r="B12" s="46" t="str">
        <f>INDEX(Data_Anomalies!$D$2:$D$81,B10)</f>
        <v>SUP-46</v>
      </c>
      <c r="D12" s="46" t="s">
        <v>29</v>
      </c>
      <c r="E12" s="46" t="str">
        <f>INDEX($D$2:$D$7,MATCH(MAX($F$2:$F$7),$F$2:$F$7,0))</f>
        <v>Raw Materials</v>
      </c>
      <c r="G12" s="46" t="str">
        <f>INDEX($D$2:$D$7,MATCH(MAX($H$2:$H$7),$H$2:$H$7,0))</f>
        <v>IT Hardware</v>
      </c>
    </row>
    <row r="13" spans="1:8" x14ac:dyDescent="0.25">
      <c r="A13" s="46" t="s">
        <v>350</v>
      </c>
      <c r="B13" s="46" t="str">
        <f>INDEX(Data_Anomalies!$C$2:$C$81,B10)</f>
        <v>IT Hardware</v>
      </c>
      <c r="D13" s="46" t="s">
        <v>351</v>
      </c>
      <c r="E13" s="46">
        <f>SUM($E$2:$E$7)</f>
        <v>50</v>
      </c>
    </row>
    <row r="14" spans="1:8" x14ac:dyDescent="0.25">
      <c r="A14" s="46" t="s">
        <v>352</v>
      </c>
      <c r="B14" s="46" t="str">
        <f>DAY(INDEX(Data_Anomalies!$B$2:$B$81,B10))&amp;"."&amp;IF(MONTH(INDEX(Data_Anomalies!$B$2:$B$81,B10))&lt;10,"0","")&amp;MONTH(INDEX(Data_Anomalies!$B$2:$B$81,B10))&amp;"."&amp;YEAR(INDEX(Data_Anomalies!$B$2:$B$81,B10))</f>
        <v>31.08.2024</v>
      </c>
      <c r="D14" s="46" t="s">
        <v>353</v>
      </c>
      <c r="E14" s="46">
        <f>SUM($F$2:$F$7)</f>
        <v>30</v>
      </c>
    </row>
    <row r="15" spans="1:8" x14ac:dyDescent="0.25">
      <c r="A15" s="46" t="s">
        <v>354</v>
      </c>
      <c r="B15" s="69">
        <f>MAX(Data_Categories!$E$2:$E$7)</f>
        <v>0.63530775951076146</v>
      </c>
    </row>
    <row r="16" spans="1:8" x14ac:dyDescent="0.25">
      <c r="A16" s="46" t="s">
        <v>350</v>
      </c>
      <c r="B16" s="46" t="str">
        <f>INDEX(Data_Categories!$A$2:$A$7,MATCH(B15,Data_Categories!$E$2:$E$7,0))</f>
        <v>IT Hardware</v>
      </c>
    </row>
    <row r="17" spans="1:2" x14ac:dyDescent="0.25">
      <c r="A17" s="46" t="s">
        <v>355</v>
      </c>
      <c r="B17" s="70">
        <f>MAX(Data_Categories!$F$2:$F$7)</f>
        <v>6.9125910333236895E-2</v>
      </c>
    </row>
    <row r="18" spans="1:2" x14ac:dyDescent="0.25">
      <c r="A18" s="46" t="s">
        <v>350</v>
      </c>
      <c r="B18" s="46" t="str">
        <f>INDEX(Data_Categories!$A$2:$A$7,MATCH(B17,Data_Categories!$F$2:$F$7,0))</f>
        <v>Marketing Services</v>
      </c>
    </row>
    <row r="19" spans="1:2" x14ac:dyDescent="0.25">
      <c r="A19" s="46" t="s">
        <v>356</v>
      </c>
      <c r="B19" s="71">
        <f>INDEX(Data_Categories!$H$2:$H$7,MATCH(B17,Data_Categories!$F$2:$F$7,0))</f>
        <v>20.102549999999951</v>
      </c>
    </row>
    <row r="20" spans="1:2" x14ac:dyDescent="0.25">
      <c r="A20" s="46" t="s">
        <v>357</v>
      </c>
      <c r="B20" s="65">
        <f>COUNTIF(Data_Suppliers!$I$2:$I$51,"&lt;"&amp;Parameters!$B$9)+1</f>
        <v>40</v>
      </c>
    </row>
    <row r="21" spans="1:2" x14ac:dyDescent="0.25">
      <c r="A21" s="46" t="s">
        <v>358</v>
      </c>
      <c r="B21" s="69">
        <f>SUMPRODUCT(LARGE(Data_Suppliers!$B$2:$B$51,{1,2,3,4,5}))/B2</f>
        <v>0.12370948887746089</v>
      </c>
    </row>
    <row r="22" spans="1:2" x14ac:dyDescent="0.25">
      <c r="A22" s="46" t="s">
        <v>359</v>
      </c>
      <c r="B22" s="65">
        <f>COUNTIF(Data_Suppliers!$F$2:$F$51,"&gt;0")</f>
        <v>38</v>
      </c>
    </row>
    <row r="23" spans="1:2" x14ac:dyDescent="0.25">
      <c r="A23" s="46" t="s">
        <v>360</v>
      </c>
      <c r="B23" s="65">
        <f>MAX(Data_Suppliers!$F$2:$F$51)</f>
        <v>6</v>
      </c>
    </row>
    <row r="24" spans="1:2" x14ac:dyDescent="0.25">
      <c r="A24" s="46" t="s">
        <v>349</v>
      </c>
      <c r="B24" s="46" t="str">
        <f>INDEX(Data_Suppliers!$A$2:$A$51,MATCH(B23,Data_Suppliers!$F$2:$F$51,0))</f>
        <v>SUP-12</v>
      </c>
    </row>
    <row r="25" spans="1:2" x14ac:dyDescent="0.25">
      <c r="A25" s="46" t="s">
        <v>361</v>
      </c>
      <c r="B25" s="65">
        <f>INDEX(Data_Suppliers!$G$2:$G$51,MATCH(B23,Data_Suppliers!$F$2:$F$51,0))</f>
        <v>29146079.220000003</v>
      </c>
    </row>
    <row r="26" spans="1:2" x14ac:dyDescent="0.25">
      <c r="A26" s="46" t="s">
        <v>362</v>
      </c>
      <c r="B26" s="65">
        <f>SUM(Data_Outliers!$B$2:$B7)</f>
        <v>304</v>
      </c>
    </row>
    <row r="27" spans="1:2" x14ac:dyDescent="0.25">
      <c r="A27" s="46" t="s">
        <v>363</v>
      </c>
      <c r="B27" s="66">
        <f>SUM(Data_Outliers!$C$2:$C7)</f>
        <v>63.89</v>
      </c>
    </row>
    <row r="28" spans="1:2" x14ac:dyDescent="0.25">
      <c r="A28" s="46" t="s">
        <v>364</v>
      </c>
      <c r="B28" s="46" t="str">
        <f>INDEX(Data_Outliers!$A$2:$A7,MATCH(MAX(Data_Outliers!$C$2:$C7),Data_Outliers!$C$2:$C7,0))</f>
        <v>IT Hardware</v>
      </c>
    </row>
    <row r="29" spans="1:2" x14ac:dyDescent="0.25">
      <c r="A29" s="46" t="s">
        <v>365</v>
      </c>
      <c r="B29" s="65">
        <f>INDEX(Data_Outliers!$B$2:$B7,MATCH(MAX(Data_Outliers!$C$2:$C7),Data_Outliers!$C$2:$C7,0))</f>
        <v>76</v>
      </c>
    </row>
    <row r="30" spans="1:2" x14ac:dyDescent="0.25">
      <c r="A30" s="46" t="s">
        <v>366</v>
      </c>
      <c r="B30" s="66">
        <f>MAX(Data_Outliers!$C$2:$C7)</f>
        <v>40.47</v>
      </c>
    </row>
    <row r="31" spans="1:2" x14ac:dyDescent="0.25">
      <c r="A31" s="46" t="s">
        <v>367</v>
      </c>
      <c r="B31" s="65">
        <f>INDEX(Data_Outliers!$D$2:$D7,MATCH(MAX(Data_Outliers!$C$2:$C7),Data_Outliers!$C$2:$C7,0))</f>
        <v>7213</v>
      </c>
    </row>
    <row r="32" spans="1:2" x14ac:dyDescent="0.25">
      <c r="A32" s="46" t="s">
        <v>368</v>
      </c>
      <c r="B32" s="65">
        <f>Data_Outliers!$B$13</f>
        <v>2177</v>
      </c>
    </row>
    <row r="33" spans="1:2" x14ac:dyDescent="0.25">
      <c r="A33" s="46" t="s">
        <v>369</v>
      </c>
      <c r="B33" s="71">
        <f>Data_Outliers!$B$14</f>
        <v>284.89999999999998</v>
      </c>
    </row>
    <row r="34" spans="1:2" x14ac:dyDescent="0.25">
      <c r="A34" s="46" t="s">
        <v>370</v>
      </c>
      <c r="B34" s="46" t="str">
        <f>INDEX(Data_Buyers!$A$2:$A$11,MATCH(LARGE(Data_Buyers!$F$2:$F$11,1),Data_Buyers!$F$2:$F$11,0))</f>
        <v>BUYER-06</v>
      </c>
    </row>
    <row r="35" spans="1:2" x14ac:dyDescent="0.25">
      <c r="A35" s="46" t="s">
        <v>371</v>
      </c>
      <c r="B35" s="46" t="str">
        <f>INDEX(Data_Buyers!$A$2:$A$11,MATCH(LARGE(Data_Buyers!$F$2:$F$11,2),Data_Buyers!$F$2:$F$11,0))</f>
        <v>BUYER-02</v>
      </c>
    </row>
    <row r="36" spans="1:2" x14ac:dyDescent="0.25">
      <c r="A36" s="46" t="s">
        <v>372</v>
      </c>
      <c r="B36" s="65">
        <f>LARGE(Data_Buyers!$F$2:$F$11,1)+LARGE(Data_Buyers!$F$2:$F$11,2)</f>
        <v>86377480.50999999</v>
      </c>
    </row>
    <row r="37" spans="1:2" x14ac:dyDescent="0.25">
      <c r="A37" s="46" t="s">
        <v>373</v>
      </c>
      <c r="B37" s="65">
        <f>INDEX(Data_Buyers!$E$2:$E$11,MATCH(B34,Data_Buyers!$A$2:$A$11,0))</f>
        <v>8</v>
      </c>
    </row>
    <row r="38" spans="1:2" x14ac:dyDescent="0.25">
      <c r="A38" s="46" t="s">
        <v>374</v>
      </c>
      <c r="B38" s="65">
        <f>INDEX(Data_Buyers!$E$2:$E$11,MATCH(B35,Data_Buyers!$A$2:$A$11,0))</f>
        <v>8</v>
      </c>
    </row>
    <row r="39" spans="1:2" x14ac:dyDescent="0.25">
      <c r="A39" s="46" t="s">
        <v>375</v>
      </c>
      <c r="B39" s="71">
        <f>SUM(Data_Categories!$D$2:$D$7)</f>
        <v>6295.5000000000018</v>
      </c>
    </row>
    <row r="40" spans="1:2" x14ac:dyDescent="0.25">
      <c r="A40" s="46" t="s">
        <v>376</v>
      </c>
      <c r="B40" s="71">
        <f>SUM(Data_Months!$B$2:$C$13)</f>
        <v>6295.1999999999989</v>
      </c>
    </row>
    <row r="41" spans="1:2" x14ac:dyDescent="0.25">
      <c r="A41" s="46" t="s">
        <v>377</v>
      </c>
      <c r="B41" s="71">
        <f>B2/1000000</f>
        <v>6295.5897729999997</v>
      </c>
    </row>
    <row r="42" spans="1:2" x14ac:dyDescent="0.25">
      <c r="A42" s="46" t="s">
        <v>378</v>
      </c>
      <c r="B42" s="46" t="str">
        <f>IF(AND(ABS(B39-B41)&lt;1,ABS(B40-B41)&lt;1),"OK","CHECK DATA")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Methodology</vt:lpstr>
      <vt:lpstr>Parameters</vt:lpstr>
      <vt:lpstr>Data_Anomalies</vt:lpstr>
      <vt:lpstr>Data_Suppliers</vt:lpstr>
      <vt:lpstr>Data_Buyers</vt:lpstr>
      <vt:lpstr>Data_Categories</vt:lpstr>
      <vt:lpstr>Data_Months</vt:lpstr>
      <vt:lpstr>Data_Outliers</vt:lpstr>
      <vt:lpstr>Calculations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Procurement Intelligence Dashboard</dc:title>
  <dc:subject/>
  <dc:creator>Paweł Liberacki</dc:creator>
  <dc:description/>
  <cp:lastModifiedBy>Pawel Liberacki</cp:lastModifiedBy>
  <cp:revision>1</cp:revision>
  <dcterms:created xsi:type="dcterms:W3CDTF">2026-10-06T10:53:39Z</dcterms:created>
  <dcterms:modified xsi:type="dcterms:W3CDTF">2026-10-06T10:56:38Z</dcterms:modified>
  <dc:language>en-US</dc:language>
</cp:coreProperties>
</file>