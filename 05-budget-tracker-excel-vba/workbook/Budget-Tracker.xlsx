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" sheetId="1" state="visible" r:id="rId3"/>
    <sheet name="Dashboard" sheetId="2" state="visible" r:id="rId4"/>
    <sheet name="Transactions" sheetId="3" state="visible" r:id="rId5"/>
    <sheet name="Categories" sheetId="4" state="visible" r:id="rId6"/>
    <sheet name="Settings" sheetId="5" state="visible" r:id="rId7"/>
  </sheets>
  <definedNames>
    <definedName function="false" hidden="false" localSheetId="1" name="_xlnm.Print_Area" vbProcedure="false">Dashboard!$A$1:$L$72</definedName>
    <definedName function="false" hidden="false" name="MinIncome" vbProcedure="false">Settings!$C$9</definedName>
    <definedName function="false" hidden="false" name="OpenBalance" vbProcedure="false">Settings!$C$6</definedName>
    <definedName function="false" hidden="false" name="OpenInvest" vbProcedure="false">Settings!$C$8</definedName>
    <definedName function="false" hidden="false" name="OpenLoan" vbProcedure="false">Settings!$C$7</definedName>
    <definedName function="false" hidden="false" name="Owed" vbProcedure="false">Settings!$C$18</definedName>
    <definedName function="false" hidden="false" name="SelMonth" vbProcedure="false">Dashboard!$C$4</definedName>
    <definedName function="false" hidden="false" name="Year" vbProcedure="false">Settings!$C$5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<sst xmlns="http://schemas.openxmlformats.org/spreadsheetml/2006/main" count="721" uniqueCount="137">
  <si>
    <t xml:space="preserve">PERSONAL BUDGET TRACKER</t>
  </si>
  <si>
    <t xml:space="preserve">Track what you earn and spend, compare it with your budget, and follow your balance and net worth month by month.</t>
  </si>
  <si>
    <t xml:space="preserve">HOW TO USE IT</t>
  </si>
  <si>
    <t xml:space="preserve">1. Settings</t>
  </si>
  <si>
    <t xml:space="preserve">Once a year: enter the year, your opening balances and your income target.</t>
  </si>
  <si>
    <t xml:space="preserve">2. Categories</t>
  </si>
  <si>
    <t xml:space="preserve">Set a monthly budget for each expense category. Add or rename categories here.</t>
  </si>
  <si>
    <t xml:space="preserve">3. Add transactions</t>
  </si>
  <si>
    <t xml:space="preserve">Click "Add transaction" (form) or type a row in the Transactions sheet: date, category, amount, note.</t>
  </si>
  <si>
    <t xml:space="preserve">4. Dashboard</t>
  </si>
  <si>
    <t xml:space="preserve">Pick a month. See income, expenses, budget use, balance and net worth.</t>
  </si>
  <si>
    <t xml:space="preserve">5. Month report</t>
  </si>
  <si>
    <t xml:space="preserve">Click "Save month report" to keep a snapshot of the month, or "Export PDF" to share it.</t>
  </si>
  <si>
    <t xml:space="preserve">BUTTONS (macros)</t>
  </si>
  <si>
    <t xml:space="preserve">Add transaction</t>
  </si>
  <si>
    <t xml:space="preserve">Opens a form. Pick a category, type the amount, click Save. The form stays open for the next entry.</t>
  </si>
  <si>
    <t xml:space="preserve">◀ Previous / Next ▶</t>
  </si>
  <si>
    <t xml:space="preserve">Moves the dashboard one month back or forward.</t>
  </si>
  <si>
    <t xml:space="preserve">Sort transactions</t>
  </si>
  <si>
    <t xml:space="preserve">Sorts all transactions by date.</t>
  </si>
  <si>
    <t xml:space="preserve">Save month report</t>
  </si>
  <si>
    <t xml:space="preserve">Copies the selected month as values into a new sheet "Report YYYY-MM".</t>
  </si>
  <si>
    <t xml:space="preserve">Export PDF</t>
  </si>
  <si>
    <t xml:space="preserve">Saves the dashboard as a PDF next to this file.</t>
  </si>
  <si>
    <t xml:space="preserve">Clear demo data</t>
  </si>
  <si>
    <t xml:space="preserve">Deletes all transactions (asks first), so you can start with your own data.</t>
  </si>
  <si>
    <t xml:space="preserve">GOOD TO KNOW</t>
  </si>
  <si>
    <t xml:space="preserve">Yellow cells</t>
  </si>
  <si>
    <t xml:space="preserve">Inputs. Everything else is calculated.</t>
  </si>
  <si>
    <t xml:space="preserve">Investments / loans</t>
  </si>
  <si>
    <t xml:space="preserve">Money moved to investments or used to pay the loan is not counted as an expense, but it lowers the account balance.</t>
  </si>
  <si>
    <t xml:space="preserve">Demo data</t>
  </si>
  <si>
    <t xml:space="preserve">All numbers in this file are invented.</t>
  </si>
  <si>
    <t xml:space="preserve">Month (1–12):</t>
  </si>
  <si>
    <t xml:space="preserve">Change the yellow cell (or use the ◀ ▶ buttons) to see another month.</t>
  </si>
  <si>
    <t xml:space="preserve">INCOME</t>
  </si>
  <si>
    <t xml:space="preserve">EXPENSES</t>
  </si>
  <si>
    <t xml:space="preserve">NET (income − expenses)</t>
  </si>
  <si>
    <t xml:space="preserve">SAVINGS RATE</t>
  </si>
  <si>
    <t xml:space="preserve">AVG DAILY SPEND</t>
  </si>
  <si>
    <t xml:space="preserve">AVG WEEKLY SPEND</t>
  </si>
  <si>
    <t xml:space="preserve">ACCOUNT BALANCE (end of month)</t>
  </si>
  <si>
    <t xml:space="preserve">NET WORTH (end of month)</t>
  </si>
  <si>
    <t xml:space="preserve">INCOME TARGET</t>
  </si>
  <si>
    <t xml:space="preserve">Expenses by category – selected month</t>
  </si>
  <si>
    <t xml:space="preserve">Colours in "% of budget":</t>
  </si>
  <si>
    <t xml:space="preserve">Category</t>
  </si>
  <si>
    <t xml:space="preserve">This month</t>
  </si>
  <si>
    <t xml:space="preserve">Budget</t>
  </si>
  <si>
    <t xml:space="preserve">% of budget</t>
  </si>
  <si>
    <t xml:space="preserve">Daily avg</t>
  </si>
  <si>
    <t xml:space="preserve">Weekly avg</t>
  </si>
  <si>
    <t xml:space="preserve">Year to date</t>
  </si>
  <si>
    <t xml:space="preserve">over budget</t>
  </si>
  <si>
    <t xml:space="preserve">90–100% of budget</t>
  </si>
  <si>
    <t xml:space="preserve">within budget</t>
  </si>
  <si>
    <t xml:space="preserve">Total</t>
  </si>
  <si>
    <t xml:space="preserve">Year overview – month by month</t>
  </si>
  <si>
    <t xml:space="preserve">Empty rows = months with no transactions yet. Account balance = opening balance + income + money paid back to me − expenses − investments − loan payments − money lent. Net worth = account + investments − loan − money I owe.</t>
  </si>
  <si>
    <t xml:space="preserve">Month</t>
  </si>
  <si>
    <t xml:space="preserve">Income</t>
  </si>
  <si>
    <t xml:space="preserve">Expenses</t>
  </si>
  <si>
    <t xml:space="preserve">Investments</t>
  </si>
  <si>
    <t xml:space="preserve">Net cash flow</t>
  </si>
  <si>
    <t xml:space="preserve">Account balance</t>
  </si>
  <si>
    <t xml:space="preserve">Investments value</t>
  </si>
  <si>
    <t xml:space="preserve">Loan left</t>
  </si>
  <si>
    <t xml:space="preserve">Net worth</t>
  </si>
  <si>
    <t xml:space="preserve">Income target</t>
  </si>
  <si>
    <t xml:space="preserve">Date</t>
  </si>
  <si>
    <t xml:space="preserve">Amount</t>
  </si>
  <si>
    <t xml:space="preserve">Note</t>
  </si>
  <si>
    <t xml:space="preserve">Type</t>
  </si>
  <si>
    <t xml:space="preserve">Year</t>
  </si>
  <si>
    <t xml:space="preserve">Fill in columns A–D (or use the "Add transaction" button). Columns E–G fill in by themselves.</t>
  </si>
  <si>
    <t xml:space="preserve">Housing</t>
  </si>
  <si>
    <t xml:space="preserve">Rent</t>
  </si>
  <si>
    <t xml:space="preserve">Food</t>
  </si>
  <si>
    <t xml:space="preserve">Lunch</t>
  </si>
  <si>
    <t xml:space="preserve">Other income</t>
  </si>
  <si>
    <t xml:space="preserve">Side job</t>
  </si>
  <si>
    <t xml:space="preserve">Groceries</t>
  </si>
  <si>
    <t xml:space="preserve">Fuel</t>
  </si>
  <si>
    <t xml:space="preserve">Petrol</t>
  </si>
  <si>
    <t xml:space="preserve">Other expenses</t>
  </si>
  <si>
    <t xml:space="preserve">Gift</t>
  </si>
  <si>
    <t xml:space="preserve">Phone</t>
  </si>
  <si>
    <t xml:space="preserve">Going out</t>
  </si>
  <si>
    <t xml:space="preserve">Concert</t>
  </si>
  <si>
    <t xml:space="preserve">Salary</t>
  </si>
  <si>
    <t xml:space="preserve">Monthly pay</t>
  </si>
  <si>
    <t xml:space="preserve">Monthly investment</t>
  </si>
  <si>
    <t xml:space="preserve">Loan payment</t>
  </si>
  <si>
    <t xml:space="preserve">Car loan</t>
  </si>
  <si>
    <t xml:space="preserve">Bills</t>
  </si>
  <si>
    <t xml:space="preserve">Bakery</t>
  </si>
  <si>
    <t xml:space="preserve">Car</t>
  </si>
  <si>
    <t xml:space="preserve">Car wash / service</t>
  </si>
  <si>
    <t xml:space="preserve">Pharmacy</t>
  </si>
  <si>
    <t xml:space="preserve">Clothes</t>
  </si>
  <si>
    <t xml:space="preserve">Dinner</t>
  </si>
  <si>
    <t xml:space="preserve">Bar</t>
  </si>
  <si>
    <t xml:space="preserve">Lent to someone</t>
  </si>
  <si>
    <t xml:space="preserve">Lent to a friend</t>
  </si>
  <si>
    <t xml:space="preserve">Books</t>
  </si>
  <si>
    <t xml:space="preserve">Cinema</t>
  </si>
  <si>
    <t xml:space="preserve">Paid back to me</t>
  </si>
  <si>
    <t xml:space="preserve">Friend paid back</t>
  </si>
  <si>
    <t xml:space="preserve">Taxes</t>
  </si>
  <si>
    <t xml:space="preserve">Annual tax return</t>
  </si>
  <si>
    <t xml:space="preserve">Monthly budget</t>
  </si>
  <si>
    <t xml:space="preserve">Types:</t>
  </si>
  <si>
    <t xml:space="preserve">Expense</t>
  </si>
  <si>
    <t xml:space="preserve">money spent; counts in expenses and budgets</t>
  </si>
  <si>
    <t xml:space="preserve">money earned</t>
  </si>
  <si>
    <t xml:space="preserve">Investment</t>
  </si>
  <si>
    <t xml:space="preserve">money moved to investments (not an expense)</t>
  </si>
  <si>
    <t xml:space="preserve">pays down the loan</t>
  </si>
  <si>
    <t xml:space="preserve">Private loan out</t>
  </si>
  <si>
    <t xml:space="preserve">money lent to someone</t>
  </si>
  <si>
    <t xml:space="preserve">Private loan in</t>
  </si>
  <si>
    <t xml:space="preserve">money someone paid back</t>
  </si>
  <si>
    <t xml:space="preserve">SETTINGS</t>
  </si>
  <si>
    <t xml:space="preserve">Yellow cells are inputs. Change them once at the start of the year.</t>
  </si>
  <si>
    <t xml:space="preserve">Opening account balance (1 January)</t>
  </si>
  <si>
    <t xml:space="preserve">Opening loan balance (1 January)</t>
  </si>
  <si>
    <t xml:space="preserve">Opening value of investments (1 January)</t>
  </si>
  <si>
    <t xml:space="preserve">Minimum monthly income target</t>
  </si>
  <si>
    <t xml:space="preserve">MONEY I OWE (private)</t>
  </si>
  <si>
    <t xml:space="preserve">Person</t>
  </si>
  <si>
    <t xml:space="preserve">Settled? (Yes/No)</t>
  </si>
  <si>
    <t xml:space="preserve">Friend A</t>
  </si>
  <si>
    <t xml:space="preserve">No</t>
  </si>
  <si>
    <t xml:space="preserve">Family member</t>
  </si>
  <si>
    <t xml:space="preserve">Friend B</t>
  </si>
  <si>
    <t xml:space="preserve">Yes</t>
  </si>
  <si>
    <t xml:space="preserve">Still to pay back: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</si>
</sst>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PLN&quot;"/>
    <numFmt numFmtId="166" formatCode="0.0%"/>
    <numFmt numFmtId="167" formatCode="yyyy\-mm\-dd"/>
    <numFmt numFmtId="168" formatCode="#,##0.00"/>
    <numFmt numFmtId="169" formatCode="General"/>
    <numFmt numFmtId="170" formatCode="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  <fill>
      <patternFill patternType="solid">
        <fgColor rgb="FFDCE3F0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DCE3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b val="1"/>
        <color rgb="FF9C0006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ont>
        <b val="1"/>
        <color rgb="FFC00000"/>
      </font>
    </dxf>
    <dxf>
      <font>
        <color rgb="FFC00000"/>
      </font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F8CBAD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3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DC3E6"/>
      <rgbColor rgb="FFFF99CC"/>
      <rgbColor rgb="FFCC99FF"/>
      <rgbColor rgb="FFF8CBAD"/>
      <rgbColor rgb="FF2E75B6"/>
      <rgbColor rgb="FF33CCCC"/>
      <rgbColor rgb="FF99CC00"/>
      <rgbColor rgb="FFFFC0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Dashboard!C26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Dashboard!$C$27:$C$38</c:f>
              <c:numCache>
                <c:formatCode>#,##0" PLN"</c:formatCode>
                <c:ptCount val="12"/>
                <c:pt idx="0">
                  <c:v>7493.93</c:v>
                </c:pt>
                <c:pt idx="1">
                  <c:v>7400</c:v>
                </c:pt>
                <c:pt idx="2">
                  <c:v>7955.58</c:v>
                </c:pt>
                <c:pt idx="3">
                  <c:v>7555.32</c:v>
                </c:pt>
                <c:pt idx="4">
                  <c:v>8195.93</c:v>
                </c:pt>
                <c:pt idx="5">
                  <c:v>7650</c:v>
                </c:pt>
                <c:pt idx="6">
                  <c:v>7554.18</c:v>
                </c:pt>
                <c:pt idx="7">
                  <c:v>7650</c:v>
                </c:pt>
                <c:pt idx="8">
                  <c:v>8164.5</c:v>
                </c:pt>
              </c:numCache>
            </c:numRef>
          </c:val>
        </c:ser>
        <c:ser>
          <c:idx val="1"/>
          <c:order val="1"/>
          <c:tx>
            <c:strRef>
              <c:f>Dashboard!D26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Dashboard!$D$27:$D$38</c:f>
              <c:numCache>
                <c:formatCode>#,##0" PLN"</c:formatCode>
                <c:ptCount val="12"/>
                <c:pt idx="0">
                  <c:v>6580.92</c:v>
                </c:pt>
                <c:pt idx="1">
                  <c:v>6158.71</c:v>
                </c:pt>
                <c:pt idx="2">
                  <c:v>6013.74</c:v>
                </c:pt>
                <c:pt idx="3">
                  <c:v>7397.11</c:v>
                </c:pt>
                <c:pt idx="4">
                  <c:v>6317.29</c:v>
                </c:pt>
                <c:pt idx="5">
                  <c:v>5764.52</c:v>
                </c:pt>
                <c:pt idx="6">
                  <c:v>6036.41</c:v>
                </c:pt>
                <c:pt idx="7">
                  <c:v>6240.9</c:v>
                </c:pt>
                <c:pt idx="8">
                  <c:v>5316.63</c:v>
                </c:pt>
              </c:numCache>
            </c:numRef>
          </c:val>
        </c:ser>
        <c:gapWidth val="150"/>
        <c:overlap val="0"/>
        <c:axId val="32600941"/>
        <c:axId val="14563358"/>
      </c:barChart>
      <c:catAx>
        <c:axId val="32600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63358"/>
        <c:crosses val="autoZero"/>
        <c:auto val="1"/>
        <c:lblAlgn val="ctr"/>
        <c:lblOffset val="100"/>
        <c:noMultiLvlLbl val="0"/>
      </c:catAx>
      <c:valAx>
        <c:axId val="14563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PLN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009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category (selected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This month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Dashboard!$B$12:$B$19</c:f>
              <c:strCache>
                <c:ptCount val="8"/>
                <c:pt idx="0">
                  <c:v>Car</c:v>
                </c:pt>
                <c:pt idx="1">
                  <c:v>Food</c:v>
                </c:pt>
                <c:pt idx="2">
                  <c:v>Fuel</c:v>
                </c:pt>
                <c:pt idx="3">
                  <c:v>Clothes</c:v>
                </c:pt>
                <c:pt idx="4">
                  <c:v>Housing</c:v>
                </c:pt>
                <c:pt idx="5">
                  <c:v>Going out</c:v>
                </c:pt>
                <c:pt idx="6">
                  <c:v>Other expenses</c:v>
                </c:pt>
                <c:pt idx="7">
                  <c:v>Taxes</c:v>
                </c:pt>
              </c:strCache>
            </c:strRef>
          </c:cat>
          <c:val>
            <c:numRef>
              <c:f>Dashboard!$C$12:$C$19</c:f>
              <c:numCache>
                <c:formatCode>#,##0" PLN"</c:formatCode>
                <c:ptCount val="8"/>
                <c:pt idx="0">
                  <c:v>120</c:v>
                </c:pt>
                <c:pt idx="1">
                  <c:v>1259.42</c:v>
                </c:pt>
                <c:pt idx="2">
                  <c:v>923.52</c:v>
                </c:pt>
                <c:pt idx="3">
                  <c:v>0</c:v>
                </c:pt>
                <c:pt idx="4">
                  <c:v>2580</c:v>
                </c:pt>
                <c:pt idx="5">
                  <c:v>373.88</c:v>
                </c:pt>
                <c:pt idx="6">
                  <c:v>59.81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4620274"/>
        <c:axId val="43326089"/>
      </c:barChart>
      <c:catAx>
        <c:axId val="946202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26089"/>
        <c:crosses val="autoZero"/>
        <c:auto val="1"/>
        <c:lblAlgn val="ctr"/>
        <c:lblOffset val="100"/>
        <c:noMultiLvlLbl val="0"/>
      </c:catAx>
      <c:valAx>
        <c:axId val="43326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PLN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02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 balance and net worth (end of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Dashboard!G26</c:f>
              <c:strCache>
                <c:ptCount val="1"/>
                <c:pt idx="0">
                  <c:v>Account balance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Dashboard!$G$27:$G$38</c:f>
              <c:numCache>
                <c:formatCode>#,##0" PLN"</c:formatCode>
                <c:ptCount val="12"/>
                <c:pt idx="0">
                  <c:v>10813.01</c:v>
                </c:pt>
                <c:pt idx="1">
                  <c:v>9154.3</c:v>
                </c:pt>
                <c:pt idx="2">
                  <c:v>8696.14</c:v>
                </c:pt>
                <c:pt idx="3">
                  <c:v>6954.35</c:v>
                </c:pt>
                <c:pt idx="4">
                  <c:v>6432.99</c:v>
                </c:pt>
                <c:pt idx="5">
                  <c:v>6418.47</c:v>
                </c:pt>
                <c:pt idx="6">
                  <c:v>5536.24</c:v>
                </c:pt>
                <c:pt idx="7">
                  <c:v>4545.34</c:v>
                </c:pt>
                <c:pt idx="8">
                  <c:v>5293.21</c:v>
                </c:pt>
              </c:numCache>
            </c:numRef>
          </c:val>
        </c:ser>
        <c:ser>
          <c:idx val="1"/>
          <c:order val="1"/>
          <c:tx>
            <c:strRef>
              <c:f>Dashboard!J26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Dashboard!$J$27:$J$38</c:f>
              <c:numCache>
                <c:formatCode>#,##0" PLN"</c:formatCode>
                <c:ptCount val="12"/>
                <c:pt idx="0">
                  <c:v>8813.01</c:v>
                </c:pt>
                <c:pt idx="1">
                  <c:v>9554.3</c:v>
                </c:pt>
                <c:pt idx="2">
                  <c:v>11496.14</c:v>
                </c:pt>
                <c:pt idx="3">
                  <c:v>12154.35</c:v>
                </c:pt>
                <c:pt idx="4">
                  <c:v>14032.99</c:v>
                </c:pt>
                <c:pt idx="5">
                  <c:v>15918.47</c:v>
                </c:pt>
                <c:pt idx="6">
                  <c:v>17436.24</c:v>
                </c:pt>
                <c:pt idx="7">
                  <c:v>18845.34</c:v>
                </c:pt>
                <c:pt idx="8">
                  <c:v>21693.21</c:v>
                </c:pt>
              </c:numCache>
            </c:numRef>
          </c:val>
        </c:ser>
        <c:gapWidth val="150"/>
        <c:overlap val="0"/>
        <c:axId val="34147068"/>
        <c:axId val="37083754"/>
      </c:barChart>
      <c:catAx>
        <c:axId val="341470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83754"/>
        <c:crosses val="autoZero"/>
        <c:auto val="1"/>
        <c:lblAlgn val="ctr"/>
        <c:lblOffset val="100"/>
        <c:noMultiLvlLbl val="0"/>
      </c:catAx>
      <c:valAx>
        <c:axId val="37083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PLN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470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6</xdr:col>
      <xdr:colOff>42840</xdr:colOff>
      <xdr:row>54</xdr:row>
      <xdr:rowOff>32400</xdr:rowOff>
    </xdr:to>
    <xdr:graphicFrame>
      <xdr:nvGraphicFramePr>
        <xdr:cNvPr id="0" name="Chart 1"/>
        <xdr:cNvGraphicFramePr/>
      </xdr:nvGraphicFramePr>
      <xdr:xfrm>
        <a:off x="141120" y="8191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732600</xdr:colOff>
      <xdr:row>54</xdr:row>
      <xdr:rowOff>32400</xdr:rowOff>
    </xdr:to>
    <xdr:graphicFrame>
      <xdr:nvGraphicFramePr>
        <xdr:cNvPr id="1" name="Chart 2"/>
        <xdr:cNvGraphicFramePr/>
      </xdr:nvGraphicFramePr>
      <xdr:xfrm>
        <a:off x="5497920" y="8191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6</xdr:col>
      <xdr:colOff>42840</xdr:colOff>
      <xdr:row>70</xdr:row>
      <xdr:rowOff>32760</xdr:rowOff>
    </xdr:to>
    <xdr:graphicFrame>
      <xdr:nvGraphicFramePr>
        <xdr:cNvPr id="2" name="Chart 3"/>
        <xdr:cNvGraphicFramePr/>
      </xdr:nvGraphicFramePr>
      <xdr:xfrm>
        <a:off x="141120" y="11239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Categories" displayName="tCategories" ref="A1:C15" headerRowCount="1" totalsRowCount="0" totalsRowShown="0">
  <autoFilter ref="A1:C15"/>
  <tableColumns count="3">
    <tableColumn id="1" name="Category"/>
    <tableColumn id="2" name="Type"/>
    <tableColumn id="3" name="Monthly budget"/>
  </tableColumns>
</table>
</file>

<file path=xl/tables/table2.xml><?xml version="1.0" encoding="utf-8"?>
<table xmlns="http://schemas.openxmlformats.org/spreadsheetml/2006/main" id="2" name="tDebts" displayName="tDebts" ref="B13:D16" headerRowCount="1" totalsRowCount="0" totalsRowShown="0">
  <autoFilter ref="B13:D16"/>
  <tableColumns count="3">
    <tableColumn id="1" name="Person"/>
    <tableColumn id="2" name="Amount"/>
    <tableColumn id="3" name="Settled? (Yes/No)"/>
  </tableColumns>
</table>
</file>

<file path=xl/tables/table3.xml><?xml version="1.0" encoding="utf-8"?>
<table xmlns="http://schemas.openxmlformats.org/spreadsheetml/2006/main" id="3" name="tTransactions" displayName="tTransactions" ref="A1:G309" headerRowCount="1" totalsRowCount="0" totalsRowShown="0">
  <autoFilter ref="A1:G309"/>
  <tableColumns count="7">
    <tableColumn id="1" name="Date"/>
    <tableColumn id="2" name="Category"/>
    <tableColumn id="3" name="Amount"/>
    <tableColumn id="4" name="Note"/>
    <tableColumn id="5" name="Type"/>
    <tableColumn id="6" name="Month"/>
    <tableColumn id="7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80"/>
  </cols>
  <sheetData>
    <row r="2" customFormat="false" ht="31.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23.8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3" t="s">
        <v>13</v>
      </c>
    </row>
    <row r="13" customFormat="false" ht="15" hidden="false" customHeight="false" outlineLevel="0" collapsed="false">
      <c r="B13" s="4" t="s">
        <v>14</v>
      </c>
      <c r="C13" s="5" t="s">
        <v>15</v>
      </c>
    </row>
    <row r="14" customFormat="false" ht="15" hidden="false" customHeight="false" outlineLevel="0" collapsed="false">
      <c r="B14" s="4" t="s">
        <v>16</v>
      </c>
      <c r="C14" s="5" t="s">
        <v>17</v>
      </c>
    </row>
    <row r="15" customFormat="false" ht="15" hidden="false" customHeight="false" outlineLevel="0" collapsed="false">
      <c r="B15" s="4" t="s">
        <v>18</v>
      </c>
      <c r="C15" s="5" t="s">
        <v>19</v>
      </c>
    </row>
    <row r="16" customFormat="false" ht="15" hidden="false" customHeight="false" outlineLevel="0" collapsed="false">
      <c r="B16" s="4" t="s">
        <v>20</v>
      </c>
      <c r="C16" s="5" t="s">
        <v>21</v>
      </c>
    </row>
    <row r="17" customFormat="false" ht="15" hidden="false" customHeight="false" outlineLevel="0" collapsed="false">
      <c r="B17" s="4" t="s">
        <v>22</v>
      </c>
      <c r="C17" s="5" t="s">
        <v>23</v>
      </c>
    </row>
    <row r="18" customFormat="false" ht="15" hidden="false" customHeight="false" outlineLevel="0" collapsed="false">
      <c r="B18" s="4" t="s">
        <v>24</v>
      </c>
      <c r="C18" s="5" t="s">
        <v>25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3" t="s">
        <v>26</v>
      </c>
    </row>
    <row r="21" customFormat="false" ht="15" hidden="false" customHeight="false" outlineLevel="0" collapsed="false">
      <c r="B21" s="4" t="s">
        <v>27</v>
      </c>
      <c r="C21" s="5" t="s">
        <v>28</v>
      </c>
    </row>
    <row r="22" customFormat="false" ht="23.85" hidden="false" customHeight="false" outlineLevel="0" collapsed="false">
      <c r="B22" s="4" t="s">
        <v>29</v>
      </c>
      <c r="C22" s="5" t="s">
        <v>30</v>
      </c>
    </row>
    <row r="23" customFormat="false" ht="15" hidden="false" customHeight="false" outlineLevel="0" collapsed="false">
      <c r="B23" s="4" t="s">
        <v>31</v>
      </c>
      <c r="C23" s="5" t="s">
        <v>32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K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10" min="3" style="0" width="14"/>
    <col collapsed="false" customWidth="true" hidden="false" outlineLevel="0" max="11" min="11" style="0" width="13"/>
    <col collapsed="false" customWidth="true" hidden="false" outlineLevel="0" max="12" min="12" style="0" width="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customFormat="false" ht="15" hidden="false" customHeight="false" outlineLevel="0" collapsed="false">
      <c r="B4" s="6" t="s">
        <v>33</v>
      </c>
      <c r="C4" s="7" t="n">
        <v>9</v>
      </c>
      <c r="D4" s="8" t="str">
        <f aca="false">INDEX({"January","February","March","April","May","June","July","August","September","October","November","December"},SelMonth)&amp;" "&amp;Year</f>
        <v>September 2026</v>
      </c>
      <c r="G4" s="9" t="s">
        <v>34</v>
      </c>
    </row>
    <row r="7" customFormat="false" ht="25.5" hidden="false" customHeight="true" outlineLevel="0" collapsed="false">
      <c r="B7" s="10" t="s">
        <v>35</v>
      </c>
      <c r="C7" s="10" t="s">
        <v>36</v>
      </c>
      <c r="D7" s="10" t="s">
        <v>37</v>
      </c>
      <c r="E7" s="10" t="s">
        <v>38</v>
      </c>
      <c r="F7" s="10" t="s">
        <v>39</v>
      </c>
      <c r="G7" s="10" t="s">
        <v>40</v>
      </c>
      <c r="H7" s="10" t="s">
        <v>41</v>
      </c>
      <c r="I7" s="10" t="s">
        <v>42</v>
      </c>
      <c r="J7" s="11" t="s">
        <v>43</v>
      </c>
    </row>
    <row r="8" customFormat="false" ht="24" hidden="false" customHeight="true" outlineLevel="0" collapsed="false">
      <c r="B8" s="12" t="n">
        <f aca="false">SUMIFS(tTransactions[Amount],tTransactions[Type],"Income",tTransactions[Month],SelMonth,tTransactions[Year],Year)</f>
        <v>8164.5</v>
      </c>
      <c r="C8" s="12" t="n">
        <f aca="false">SUMIFS(tTransactions[Amount],tTransactions[Type],"Expense",tTransactions[Month],SelMonth,tTransactions[Year],Year)</f>
        <v>5316.63</v>
      </c>
      <c r="D8" s="12" t="n">
        <f aca="false">B8-C8</f>
        <v>2847.87</v>
      </c>
      <c r="E8" s="13" t="n">
        <f aca="false">IF(B8=0,0,D8/B8)</f>
        <v>0.34881131728826</v>
      </c>
      <c r="F8" s="12" t="n">
        <f aca="false">C8/DAY(EOMONTH(DATE(Year,SelMonth,1),0))</f>
        <v>177.221</v>
      </c>
      <c r="G8" s="12" t="n">
        <f aca="false">C8/(DAY(EOMONTH(DATE(Year,SelMonth,1),0))/7)</f>
        <v>1240.547</v>
      </c>
      <c r="H8" s="12" t="n">
        <f aca="false">INDEX($G$27:$G$38,SelMonth)</f>
        <v>5293.21</v>
      </c>
      <c r="I8" s="12" t="n">
        <f aca="false">INDEX($J$27:$J$38,SelMonth)</f>
        <v>21693.21</v>
      </c>
      <c r="J8" s="14" t="str">
        <f aca="false">IF(B8&gt;=MinIncome,"Reached","Below target")</f>
        <v>Reached</v>
      </c>
    </row>
    <row r="10" customFormat="false" ht="15" hidden="false" customHeight="false" outlineLevel="0" collapsed="false">
      <c r="B10" s="3" t="s">
        <v>44</v>
      </c>
      <c r="J10" s="15" t="s">
        <v>45</v>
      </c>
    </row>
    <row r="11" customFormat="false" ht="15" hidden="false" customHeight="false" outlineLevel="0" collapsed="false">
      <c r="B11" s="16" t="s">
        <v>46</v>
      </c>
      <c r="C11" s="17" t="s">
        <v>47</v>
      </c>
      <c r="D11" s="17" t="s">
        <v>48</v>
      </c>
      <c r="E11" s="17" t="s">
        <v>49</v>
      </c>
      <c r="F11" s="17" t="s">
        <v>50</v>
      </c>
      <c r="G11" s="17" t="s">
        <v>51</v>
      </c>
      <c r="H11" s="17" t="s">
        <v>52</v>
      </c>
      <c r="J11" s="18" t="s">
        <v>53</v>
      </c>
    </row>
    <row r="12" customFormat="false" ht="15" hidden="false" customHeight="false" outlineLevel="0" collapsed="false">
      <c r="B12" s="19" t="str">
        <f aca="false">INDEX(tCategories[Category],1)</f>
        <v>Car</v>
      </c>
      <c r="C12" s="20" t="n">
        <f aca="false">SUMIFS(tTransactions[Amount],tTransactions[Category],B12,tTransactions[Month],SelMonth,tTransactions[Year],Year)</f>
        <v>120</v>
      </c>
      <c r="D12" s="20" t="n">
        <f aca="false">INDEX(tCategories[Monthly budget],1)</f>
        <v>400</v>
      </c>
      <c r="E12" s="21" t="n">
        <f aca="false">IF(D12=0,0,C12/D12)</f>
        <v>0.3</v>
      </c>
      <c r="F12" s="20" t="n">
        <f aca="false">C12/DAY(EOMONTH(DATE(Year,SelMonth,1),0))</f>
        <v>4</v>
      </c>
      <c r="G12" s="20" t="n">
        <f aca="false">F12*7</f>
        <v>28</v>
      </c>
      <c r="H12" s="20" t="n">
        <f aca="false">SUMIFS(tTransactions[Amount],tTransactions[Category],B12,tTransactions[Month],"&lt;="&amp;SelMonth,tTransactions[Year],Year)</f>
        <v>1460</v>
      </c>
      <c r="J12" s="22" t="s">
        <v>54</v>
      </c>
    </row>
    <row r="13" customFormat="false" ht="15" hidden="false" customHeight="false" outlineLevel="0" collapsed="false">
      <c r="B13" s="19" t="str">
        <f aca="false">INDEX(tCategories[Category],2)</f>
        <v>Food</v>
      </c>
      <c r="C13" s="20" t="n">
        <f aca="false">SUMIFS(tTransactions[Amount],tTransactions[Category],B13,tTransactions[Month],SelMonth,tTransactions[Year],Year)</f>
        <v>1259.42</v>
      </c>
      <c r="D13" s="20" t="n">
        <f aca="false">INDEX(tCategories[Monthly budget],2)</f>
        <v>1400</v>
      </c>
      <c r="E13" s="21" t="n">
        <f aca="false">IF(D13=0,0,C13/D13)</f>
        <v>0.899585714285714</v>
      </c>
      <c r="F13" s="20" t="n">
        <f aca="false">C13/DAY(EOMONTH(DATE(Year,SelMonth,1),0))</f>
        <v>41.9806666666667</v>
      </c>
      <c r="G13" s="20" t="n">
        <f aca="false">F13*7</f>
        <v>293.864666666667</v>
      </c>
      <c r="H13" s="20" t="n">
        <f aca="false">SUMIFS(tTransactions[Amount],tTransactions[Category],B13,tTransactions[Month],"&lt;="&amp;SelMonth,tTransactions[Year],Year)</f>
        <v>14666.27</v>
      </c>
      <c r="J13" s="23" t="s">
        <v>55</v>
      </c>
    </row>
    <row r="14" customFormat="false" ht="15" hidden="false" customHeight="false" outlineLevel="0" collapsed="false">
      <c r="B14" s="19" t="str">
        <f aca="false">INDEX(tCategories[Category],3)</f>
        <v>Fuel</v>
      </c>
      <c r="C14" s="20" t="n">
        <f aca="false">SUMIFS(tTransactions[Amount],tTransactions[Category],B14,tTransactions[Month],SelMonth,tTransactions[Year],Year)</f>
        <v>923.52</v>
      </c>
      <c r="D14" s="20" t="n">
        <f aca="false">INDEX(tCategories[Monthly budget],3)</f>
        <v>900</v>
      </c>
      <c r="E14" s="21" t="n">
        <f aca="false">IF(D14=0,0,C14/D14)</f>
        <v>1.02613333333333</v>
      </c>
      <c r="F14" s="20" t="n">
        <f aca="false">C14/DAY(EOMONTH(DATE(Year,SelMonth,1),0))</f>
        <v>30.784</v>
      </c>
      <c r="G14" s="20" t="n">
        <f aca="false">F14*7</f>
        <v>215.488</v>
      </c>
      <c r="H14" s="20" t="n">
        <f aca="false">SUMIFS(tTransactions[Amount],tTransactions[Category],B14,tTransactions[Month],"&lt;="&amp;SelMonth,tTransactions[Year],Year)</f>
        <v>7998.18</v>
      </c>
    </row>
    <row r="15" customFormat="false" ht="15" hidden="false" customHeight="false" outlineLevel="0" collapsed="false">
      <c r="B15" s="19" t="str">
        <f aca="false">INDEX(tCategories[Category],4)</f>
        <v>Clothes</v>
      </c>
      <c r="C15" s="20" t="n">
        <f aca="false">SUMIFS(tTransactions[Amount],tTransactions[Category],B15,tTransactions[Month],SelMonth,tTransactions[Year],Year)</f>
        <v>0</v>
      </c>
      <c r="D15" s="20" t="n">
        <f aca="false">INDEX(tCategories[Monthly budget],4)</f>
        <v>300</v>
      </c>
      <c r="E15" s="21" t="n">
        <f aca="false">IF(D15=0,0,C15/D15)</f>
        <v>0</v>
      </c>
      <c r="F15" s="20" t="n">
        <f aca="false">C15/DAY(EOMONTH(DATE(Year,SelMonth,1),0))</f>
        <v>0</v>
      </c>
      <c r="G15" s="20" t="n">
        <f aca="false">F15*7</f>
        <v>0</v>
      </c>
      <c r="H15" s="20" t="n">
        <f aca="false">SUMIFS(tTransactions[Amount],tTransactions[Category],B15,tTransactions[Month],"&lt;="&amp;SelMonth,tTransactions[Year],Year)</f>
        <v>1867.53</v>
      </c>
    </row>
    <row r="16" customFormat="false" ht="15" hidden="false" customHeight="false" outlineLevel="0" collapsed="false">
      <c r="B16" s="19" t="str">
        <f aca="false">INDEX(tCategories[Category],5)</f>
        <v>Housing</v>
      </c>
      <c r="C16" s="20" t="n">
        <f aca="false">SUMIFS(tTransactions[Amount],tTransactions[Category],B16,tTransactions[Month],SelMonth,tTransactions[Year],Year)</f>
        <v>2580</v>
      </c>
      <c r="D16" s="20" t="n">
        <f aca="false">INDEX(tCategories[Monthly budget],5)</f>
        <v>2700</v>
      </c>
      <c r="E16" s="21" t="n">
        <f aca="false">IF(D16=0,0,C16/D16)</f>
        <v>0.955555555555556</v>
      </c>
      <c r="F16" s="20" t="n">
        <f aca="false">C16/DAY(EOMONTH(DATE(Year,SelMonth,1),0))</f>
        <v>86</v>
      </c>
      <c r="G16" s="20" t="n">
        <f aca="false">F16*7</f>
        <v>602</v>
      </c>
      <c r="H16" s="20" t="n">
        <f aca="false">SUMIFS(tTransactions[Amount],tTransactions[Category],B16,tTransactions[Month],"&lt;="&amp;SelMonth,tTransactions[Year],Year)</f>
        <v>23896</v>
      </c>
    </row>
    <row r="17" customFormat="false" ht="15" hidden="false" customHeight="false" outlineLevel="0" collapsed="false">
      <c r="B17" s="19" t="str">
        <f aca="false">INDEX(tCategories[Category],6)</f>
        <v>Going out</v>
      </c>
      <c r="C17" s="20" t="n">
        <f aca="false">SUMIFS(tTransactions[Amount],tTransactions[Category],B17,tTransactions[Month],SelMonth,tTransactions[Year],Year)</f>
        <v>373.88</v>
      </c>
      <c r="D17" s="20" t="n">
        <f aca="false">INDEX(tCategories[Monthly budget],6)</f>
        <v>600</v>
      </c>
      <c r="E17" s="21" t="n">
        <f aca="false">IF(D17=0,0,C17/D17)</f>
        <v>0.623133333333333</v>
      </c>
      <c r="F17" s="20" t="n">
        <f aca="false">C17/DAY(EOMONTH(DATE(Year,SelMonth,1),0))</f>
        <v>12.4626666666667</v>
      </c>
      <c r="G17" s="20" t="n">
        <f aca="false">F17*7</f>
        <v>87.2386666666667</v>
      </c>
      <c r="H17" s="20" t="n">
        <f aca="false">SUMIFS(tTransactions[Amount],tTransactions[Category],B17,tTransactions[Month],"&lt;="&amp;SelMonth,tTransactions[Year],Year)</f>
        <v>3698.26</v>
      </c>
    </row>
    <row r="18" customFormat="false" ht="15" hidden="false" customHeight="false" outlineLevel="0" collapsed="false">
      <c r="B18" s="19" t="str">
        <f aca="false">INDEX(tCategories[Category],7)</f>
        <v>Other expenses</v>
      </c>
      <c r="C18" s="20" t="n">
        <f aca="false">SUMIFS(tTransactions[Amount],tTransactions[Category],B18,tTransactions[Month],SelMonth,tTransactions[Year],Year)</f>
        <v>59.81</v>
      </c>
      <c r="D18" s="20" t="n">
        <f aca="false">INDEX(tCategories[Monthly budget],7)</f>
        <v>400</v>
      </c>
      <c r="E18" s="21" t="n">
        <f aca="false">IF(D18=0,0,C18/D18)</f>
        <v>0.149525</v>
      </c>
      <c r="F18" s="20" t="n">
        <f aca="false">C18/DAY(EOMONTH(DATE(Year,SelMonth,1),0))</f>
        <v>1.99366666666667</v>
      </c>
      <c r="G18" s="20" t="n">
        <f aca="false">F18*7</f>
        <v>13.9556666666667</v>
      </c>
      <c r="H18" s="20" t="n">
        <f aca="false">SUMIFS(tTransactions[Amount],tTransactions[Category],B18,tTransactions[Month],"&lt;="&amp;SelMonth,tTransactions[Year],Year)</f>
        <v>1819.99</v>
      </c>
    </row>
    <row r="19" customFormat="false" ht="15" hidden="false" customHeight="false" outlineLevel="0" collapsed="false">
      <c r="B19" s="19" t="str">
        <f aca="false">INDEX(tCategories[Category],8)</f>
        <v>Taxes</v>
      </c>
      <c r="C19" s="20" t="n">
        <f aca="false">SUMIFS(tTransactions[Amount],tTransactions[Category],B19,tTransactions[Month],SelMonth,tTransactions[Year],Year)</f>
        <v>0</v>
      </c>
      <c r="D19" s="20" t="n">
        <f aca="false">INDEX(tCategories[Monthly budget],8)</f>
        <v>150</v>
      </c>
      <c r="E19" s="21" t="n">
        <f aca="false">IF(D19=0,0,C19/D19)</f>
        <v>0</v>
      </c>
      <c r="F19" s="20" t="n">
        <f aca="false">C19/DAY(EOMONTH(DATE(Year,SelMonth,1),0))</f>
        <v>0</v>
      </c>
      <c r="G19" s="20" t="n">
        <f aca="false">F19*7</f>
        <v>0</v>
      </c>
      <c r="H19" s="20" t="n">
        <f aca="false">SUMIFS(tTransactions[Amount],tTransactions[Category],B19,tTransactions[Month],"&lt;="&amp;SelMonth,tTransactions[Year],Year)</f>
        <v>420</v>
      </c>
    </row>
    <row r="20" customFormat="false" ht="15" hidden="false" customHeight="false" outlineLevel="0" collapsed="false">
      <c r="B20" s="24" t="s">
        <v>56</v>
      </c>
      <c r="C20" s="25" t="n">
        <f aca="false">SUM(C12:C19)</f>
        <v>5316.63</v>
      </c>
      <c r="D20" s="25" t="n">
        <f aca="false">SUM(D12:D19)</f>
        <v>6850</v>
      </c>
      <c r="E20" s="26" t="n">
        <f aca="false">IF(D20=0,0,C20/D20)</f>
        <v>0.776150364963504</v>
      </c>
      <c r="F20" s="25" t="n">
        <f aca="false">SUM(F12:F19)</f>
        <v>177.221</v>
      </c>
      <c r="G20" s="25" t="n">
        <f aca="false">SUM(G12:G19)</f>
        <v>1240.547</v>
      </c>
      <c r="H20" s="25" t="n">
        <f aca="false">SUM(H12:H19)</f>
        <v>55826.23</v>
      </c>
    </row>
    <row r="24" customFormat="false" ht="15" hidden="false" customHeight="false" outlineLevel="0" collapsed="false">
      <c r="B24" s="3" t="s">
        <v>57</v>
      </c>
    </row>
    <row r="25" customFormat="false" ht="15" hidden="false" customHeight="false" outlineLevel="0" collapsed="false">
      <c r="B25" s="27" t="s">
        <v>58</v>
      </c>
    </row>
    <row r="26" customFormat="false" ht="25.5" hidden="false" customHeight="true" outlineLevel="0" collapsed="false">
      <c r="B26" s="16" t="s">
        <v>59</v>
      </c>
      <c r="C26" s="17" t="s">
        <v>60</v>
      </c>
      <c r="D26" s="17" t="s">
        <v>61</v>
      </c>
      <c r="E26" s="17" t="s">
        <v>62</v>
      </c>
      <c r="F26" s="17" t="s">
        <v>63</v>
      </c>
      <c r="G26" s="17" t="s">
        <v>64</v>
      </c>
      <c r="H26" s="17" t="s">
        <v>65</v>
      </c>
      <c r="I26" s="17" t="s">
        <v>66</v>
      </c>
      <c r="J26" s="17" t="s">
        <v>67</v>
      </c>
      <c r="K26" s="17" t="s">
        <v>68</v>
      </c>
    </row>
    <row r="27" customFormat="false" ht="15" hidden="false" customHeight="false" outlineLevel="0" collapsed="false">
      <c r="B27" s="19" t="str">
        <f aca="false">INDEX({"January","February","March","April","May","June","July","August","September","October","November","December"},1)</f>
        <v>January</v>
      </c>
      <c r="C27" s="20" t="n">
        <f aca="false">IF(COUNTIFS(tTransactions[Month],1,tTransactions[Year],Year)&gt;0,SUMIFS(tTransactions[Amount],tTransactions[Type],"Income",tTransactions[Month],1,tTransactions[Year],Year),"")</f>
        <v>7493.93</v>
      </c>
      <c r="D27" s="20" t="n">
        <f aca="false">IF(COUNTIFS(tTransactions[Month],1,tTransactions[Year],Year)&gt;0,SUMIFS(tTransactions[Amount],tTransactions[Type],"Expense",tTransactions[Month],1,tTransactions[Year],Year),"")</f>
        <v>6580.92</v>
      </c>
      <c r="E27" s="20" t="n">
        <f aca="false">IF(COUNTIFS(tTransactions[Month],1,tTransactions[Year],Year)&gt;0,SUMIFS(tTransactions[Amount],tTransactions[Type],"Investment",tTransactions[Month],1,tTransactions[Year],Year),"")</f>
        <v>1200</v>
      </c>
      <c r="F27" s="20" t="n">
        <f aca="false">IF(COUNTIFS(tTransactions[Month],1,tTransactions[Year],Year)&gt;0,C27+SUMIFS(tTransactions[Amount],tTransactions[Type],"Private loan in",tTransactions[Month],1,tTransactions[Year],Year)-D27-E27-SUMIFS(tTransactions[Amount],tTransactions[Type],"Loan payment",tTransactions[Month],1,tTransactions[Year],Year)-SUMIFS(tTransactions[Amount],tTransactions[Type],"Private loan out",tTransactions[Month],1,tTransactions[Year],Year),"")</f>
        <v>-1186.99</v>
      </c>
      <c r="G27" s="20" t="n">
        <f aca="false">IF(COUNTIFS(tTransactions[Month],1,tTransactions[Year],Year)&gt;0,OpenBalance+F27,"")</f>
        <v>10813.01</v>
      </c>
      <c r="H27" s="20" t="n">
        <f aca="false">IF(COUNTIFS(tTransactions[Month],1,tTransactions[Year],Year)&gt;0,OpenInvest+SUMIFS(tTransactions[Amount],tTransactions[Type],"Investment",tTransactions[Month],"&lt;="&amp;1,tTransactions[Year],Year),"")</f>
        <v>16200</v>
      </c>
      <c r="I27" s="20" t="n">
        <f aca="false">IF(COUNTIFS(tTransactions[Month],1,tTransactions[Year],Year)&gt;0,OpenLoan-SUMIFS(tTransactions[Amount],tTransactions[Type],"Loan payment",tTransactions[Month],"&lt;="&amp;1,tTransactions[Year],Year),"")</f>
        <v>17100</v>
      </c>
      <c r="J27" s="20" t="n">
        <f aca="false">IF(COUNTIFS(tTransactions[Month],1,tTransactions[Year],Year)&gt;0,G27+H27-I27-Owed,"")</f>
        <v>8813.01</v>
      </c>
      <c r="K27" s="28" t="str">
        <f aca="false">IF(COUNTIFS(tTransactions[Month],1,tTransactions[Year],Year)&gt;0,IF(C27&gt;=MinIncome,"Reached","Below"),"")</f>
        <v>Reached</v>
      </c>
    </row>
    <row r="28" customFormat="false" ht="15" hidden="false" customHeight="false" outlineLevel="0" collapsed="false">
      <c r="B28" s="19" t="str">
        <f aca="false">INDEX({"January","February","March","April","May","June","July","August","September","October","November","December"},2)</f>
        <v>February</v>
      </c>
      <c r="C28" s="20" t="n">
        <f aca="false">IF(COUNTIFS(tTransactions[Month],2,tTransactions[Year],Year)&gt;0,SUMIFS(tTransactions[Amount],tTransactions[Type],"Income",tTransactions[Month],2,tTransactions[Year],Year),"")</f>
        <v>7400</v>
      </c>
      <c r="D28" s="20" t="n">
        <f aca="false">IF(COUNTIFS(tTransactions[Month],2,tTransactions[Year],Year)&gt;0,SUMIFS(tTransactions[Amount],tTransactions[Type],"Expense",tTransactions[Month],2,tTransactions[Year],Year),"")</f>
        <v>6158.71</v>
      </c>
      <c r="E28" s="20" t="n">
        <f aca="false">IF(COUNTIFS(tTransactions[Month],2,tTransactions[Year],Year)&gt;0,SUMIFS(tTransactions[Amount],tTransactions[Type],"Investment",tTransactions[Month],2,tTransactions[Year],Year),"")</f>
        <v>1500</v>
      </c>
      <c r="F28" s="20" t="n">
        <f aca="false">IF(COUNTIFS(tTransactions[Month],2,tTransactions[Year],Year)&gt;0,C28+SUMIFS(tTransactions[Amount],tTransactions[Type],"Private loan in",tTransactions[Month],2,tTransactions[Year],Year)-D28-E28-SUMIFS(tTransactions[Amount],tTransactions[Type],"Loan payment",tTransactions[Month],2,tTransactions[Year],Year)-SUMIFS(tTransactions[Amount],tTransactions[Type],"Private loan out",tTransactions[Month],2,tTransactions[Year],Year),"")</f>
        <v>-1658.71</v>
      </c>
      <c r="G28" s="20" t="n">
        <f aca="false">IF(COUNTIFS(tTransactions[Month],2,tTransactions[Year],Year)&gt;0,G27+F28,"")</f>
        <v>9154.3</v>
      </c>
      <c r="H28" s="20" t="n">
        <f aca="false">IF(COUNTIFS(tTransactions[Month],2,tTransactions[Year],Year)&gt;0,OpenInvest+SUMIFS(tTransactions[Amount],tTransactions[Type],"Investment",tTransactions[Month],"&lt;="&amp;2,tTransactions[Year],Year),"")</f>
        <v>17700</v>
      </c>
      <c r="I28" s="20" t="n">
        <f aca="false">IF(COUNTIFS(tTransactions[Month],2,tTransactions[Year],Year)&gt;0,OpenLoan-SUMIFS(tTransactions[Amount],tTransactions[Type],"Loan payment",tTransactions[Month],"&lt;="&amp;2,tTransactions[Year],Year),"")</f>
        <v>16200</v>
      </c>
      <c r="J28" s="20" t="n">
        <f aca="false">IF(COUNTIFS(tTransactions[Month],2,tTransactions[Year],Year)&gt;0,G28+H28-I28-Owed,"")</f>
        <v>9554.3</v>
      </c>
      <c r="K28" s="28" t="str">
        <f aca="false">IF(COUNTIFS(tTransactions[Month],2,tTransactions[Year],Year)&gt;0,IF(C28&gt;=MinIncome,"Reached","Below"),"")</f>
        <v>Reached</v>
      </c>
    </row>
    <row r="29" customFormat="false" ht="15" hidden="false" customHeight="false" outlineLevel="0" collapsed="false">
      <c r="B29" s="19" t="str">
        <f aca="false">INDEX({"January","February","March","April","May","June","July","August","September","October","November","December"},3)</f>
        <v>March</v>
      </c>
      <c r="C29" s="20" t="n">
        <f aca="false">IF(COUNTIFS(tTransactions[Month],3,tTransactions[Year],Year)&gt;0,SUMIFS(tTransactions[Amount],tTransactions[Type],"Income",tTransactions[Month],3,tTransactions[Year],Year),"")</f>
        <v>7955.58</v>
      </c>
      <c r="D29" s="20" t="n">
        <f aca="false">IF(COUNTIFS(tTransactions[Month],3,tTransactions[Year],Year)&gt;0,SUMIFS(tTransactions[Amount],tTransactions[Type],"Expense",tTransactions[Month],3,tTransactions[Year],Year),"")</f>
        <v>6013.74</v>
      </c>
      <c r="E29" s="20" t="n">
        <f aca="false">IF(COUNTIFS(tTransactions[Month],3,tTransactions[Year],Year)&gt;0,SUMIFS(tTransactions[Amount],tTransactions[Type],"Investment",tTransactions[Month],3,tTransactions[Year],Year),"")</f>
        <v>1500</v>
      </c>
      <c r="F29" s="20" t="n">
        <f aca="false">IF(COUNTIFS(tTransactions[Month],3,tTransactions[Year],Year)&gt;0,C29+SUMIFS(tTransactions[Amount],tTransactions[Type],"Private loan in",tTransactions[Month],3,tTransactions[Year],Year)-D29-E29-SUMIFS(tTransactions[Amount],tTransactions[Type],"Loan payment",tTransactions[Month],3,tTransactions[Year],Year)-SUMIFS(tTransactions[Amount],tTransactions[Type],"Private loan out",tTransactions[Month],3,tTransactions[Year],Year),"")</f>
        <v>-458.16</v>
      </c>
      <c r="G29" s="20" t="n">
        <f aca="false">IF(COUNTIFS(tTransactions[Month],3,tTransactions[Year],Year)&gt;0,G28+F29,"")</f>
        <v>8696.14</v>
      </c>
      <c r="H29" s="20" t="n">
        <f aca="false">IF(COUNTIFS(tTransactions[Month],3,tTransactions[Year],Year)&gt;0,OpenInvest+SUMIFS(tTransactions[Amount],tTransactions[Type],"Investment",tTransactions[Month],"&lt;="&amp;3,tTransactions[Year],Year),"")</f>
        <v>19200</v>
      </c>
      <c r="I29" s="20" t="n">
        <f aca="false">IF(COUNTIFS(tTransactions[Month],3,tTransactions[Year],Year)&gt;0,OpenLoan-SUMIFS(tTransactions[Amount],tTransactions[Type],"Loan payment",tTransactions[Month],"&lt;="&amp;3,tTransactions[Year],Year),"")</f>
        <v>15300</v>
      </c>
      <c r="J29" s="20" t="n">
        <f aca="false">IF(COUNTIFS(tTransactions[Month],3,tTransactions[Year],Year)&gt;0,G29+H29-I29-Owed,"")</f>
        <v>11496.14</v>
      </c>
      <c r="K29" s="28" t="str">
        <f aca="false">IF(COUNTIFS(tTransactions[Month],3,tTransactions[Year],Year)&gt;0,IF(C29&gt;=MinIncome,"Reached","Below"),"")</f>
        <v>Reached</v>
      </c>
    </row>
    <row r="30" customFormat="false" ht="15" hidden="false" customHeight="false" outlineLevel="0" collapsed="false">
      <c r="B30" s="19" t="str">
        <f aca="false">INDEX({"January","February","March","April","May","June","July","August","September","October","November","December"},4)</f>
        <v>April</v>
      </c>
      <c r="C30" s="20" t="n">
        <f aca="false">IF(COUNTIFS(tTransactions[Month],4,tTransactions[Year],Year)&gt;0,SUMIFS(tTransactions[Amount],tTransactions[Type],"Income",tTransactions[Month],4,tTransactions[Year],Year),"")</f>
        <v>7555.32</v>
      </c>
      <c r="D30" s="20" t="n">
        <f aca="false">IF(COUNTIFS(tTransactions[Month],4,tTransactions[Year],Year)&gt;0,SUMIFS(tTransactions[Amount],tTransactions[Type],"Expense",tTransactions[Month],4,tTransactions[Year],Year),"")</f>
        <v>7397.11</v>
      </c>
      <c r="E30" s="20" t="n">
        <f aca="false">IF(COUNTIFS(tTransactions[Month],4,tTransactions[Year],Year)&gt;0,SUMIFS(tTransactions[Amount],tTransactions[Type],"Investment",tTransactions[Month],4,tTransactions[Year],Year),"")</f>
        <v>1500</v>
      </c>
      <c r="F30" s="20" t="n">
        <f aca="false">IF(COUNTIFS(tTransactions[Month],4,tTransactions[Year],Year)&gt;0,C30+SUMIFS(tTransactions[Amount],tTransactions[Type],"Private loan in",tTransactions[Month],4,tTransactions[Year],Year)-D30-E30-SUMIFS(tTransactions[Amount],tTransactions[Type],"Loan payment",tTransactions[Month],4,tTransactions[Year],Year)-SUMIFS(tTransactions[Amount],tTransactions[Type],"Private loan out",tTransactions[Month],4,tTransactions[Year],Year),"")</f>
        <v>-1741.79</v>
      </c>
      <c r="G30" s="20" t="n">
        <f aca="false">IF(COUNTIFS(tTransactions[Month],4,tTransactions[Year],Year)&gt;0,G29+F30,"")</f>
        <v>6954.35</v>
      </c>
      <c r="H30" s="20" t="n">
        <f aca="false">IF(COUNTIFS(tTransactions[Month],4,tTransactions[Year],Year)&gt;0,OpenInvest+SUMIFS(tTransactions[Amount],tTransactions[Type],"Investment",tTransactions[Month],"&lt;="&amp;4,tTransactions[Year],Year),"")</f>
        <v>20700</v>
      </c>
      <c r="I30" s="20" t="n">
        <f aca="false">IF(COUNTIFS(tTransactions[Month],4,tTransactions[Year],Year)&gt;0,OpenLoan-SUMIFS(tTransactions[Amount],tTransactions[Type],"Loan payment",tTransactions[Month],"&lt;="&amp;4,tTransactions[Year],Year),"")</f>
        <v>14400</v>
      </c>
      <c r="J30" s="20" t="n">
        <f aca="false">IF(COUNTIFS(tTransactions[Month],4,tTransactions[Year],Year)&gt;0,G30+H30-I30-Owed,"")</f>
        <v>12154.35</v>
      </c>
      <c r="K30" s="28" t="str">
        <f aca="false">IF(COUNTIFS(tTransactions[Month],4,tTransactions[Year],Year)&gt;0,IF(C30&gt;=MinIncome,"Reached","Below"),"")</f>
        <v>Reached</v>
      </c>
    </row>
    <row r="31" customFormat="false" ht="15" hidden="false" customHeight="false" outlineLevel="0" collapsed="false">
      <c r="B31" s="19" t="str">
        <f aca="false">INDEX({"January","February","March","April","May","June","July","August","September","October","November","December"},5)</f>
        <v>May</v>
      </c>
      <c r="C31" s="20" t="n">
        <f aca="false">IF(COUNTIFS(tTransactions[Month],5,tTransactions[Year],Year)&gt;0,SUMIFS(tTransactions[Amount],tTransactions[Type],"Income",tTransactions[Month],5,tTransactions[Year],Year),"")</f>
        <v>8195.93</v>
      </c>
      <c r="D31" s="20" t="n">
        <f aca="false">IF(COUNTIFS(tTransactions[Month],5,tTransactions[Year],Year)&gt;0,SUMIFS(tTransactions[Amount],tTransactions[Type],"Expense",tTransactions[Month],5,tTransactions[Year],Year),"")</f>
        <v>6317.29</v>
      </c>
      <c r="E31" s="20" t="n">
        <f aca="false">IF(COUNTIFS(tTransactions[Month],5,tTransactions[Year],Year)&gt;0,SUMIFS(tTransactions[Amount],tTransactions[Type],"Investment",tTransactions[Month],5,tTransactions[Year],Year),"")</f>
        <v>1500</v>
      </c>
      <c r="F31" s="20" t="n">
        <f aca="false">IF(COUNTIFS(tTransactions[Month],5,tTransactions[Year],Year)&gt;0,C31+SUMIFS(tTransactions[Amount],tTransactions[Type],"Private loan in",tTransactions[Month],5,tTransactions[Year],Year)-D31-E31-SUMIFS(tTransactions[Amount],tTransactions[Type],"Loan payment",tTransactions[Month],5,tTransactions[Year],Year)-SUMIFS(tTransactions[Amount],tTransactions[Type],"Private loan out",tTransactions[Month],5,tTransactions[Year],Year),"")</f>
        <v>-521.36</v>
      </c>
      <c r="G31" s="20" t="n">
        <f aca="false">IF(COUNTIFS(tTransactions[Month],5,tTransactions[Year],Year)&gt;0,G30+F31,"")</f>
        <v>6432.99</v>
      </c>
      <c r="H31" s="20" t="n">
        <f aca="false">IF(COUNTIFS(tTransactions[Month],5,tTransactions[Year],Year)&gt;0,OpenInvest+SUMIFS(tTransactions[Amount],tTransactions[Type],"Investment",tTransactions[Month],"&lt;="&amp;5,tTransactions[Year],Year),"")</f>
        <v>22200</v>
      </c>
      <c r="I31" s="20" t="n">
        <f aca="false">IF(COUNTIFS(tTransactions[Month],5,tTransactions[Year],Year)&gt;0,OpenLoan-SUMIFS(tTransactions[Amount],tTransactions[Type],"Loan payment",tTransactions[Month],"&lt;="&amp;5,tTransactions[Year],Year),"")</f>
        <v>13500</v>
      </c>
      <c r="J31" s="20" t="n">
        <f aca="false">IF(COUNTIFS(tTransactions[Month],5,tTransactions[Year],Year)&gt;0,G31+H31-I31-Owed,"")</f>
        <v>14032.99</v>
      </c>
      <c r="K31" s="28" t="str">
        <f aca="false">IF(COUNTIFS(tTransactions[Month],5,tTransactions[Year],Year)&gt;0,IF(C31&gt;=MinIncome,"Reached","Below"),"")</f>
        <v>Reached</v>
      </c>
    </row>
    <row r="32" customFormat="false" ht="15" hidden="false" customHeight="false" outlineLevel="0" collapsed="false">
      <c r="B32" s="19" t="str">
        <f aca="false">INDEX({"January","February","March","April","May","June","July","August","September","October","November","December"},6)</f>
        <v>June</v>
      </c>
      <c r="C32" s="20" t="n">
        <f aca="false">IF(COUNTIFS(tTransactions[Month],6,tTransactions[Year],Year)&gt;0,SUMIFS(tTransactions[Amount],tTransactions[Type],"Income",tTransactions[Month],6,tTransactions[Year],Year),"")</f>
        <v>7650</v>
      </c>
      <c r="D32" s="20" t="n">
        <f aca="false">IF(COUNTIFS(tTransactions[Month],6,tTransactions[Year],Year)&gt;0,SUMIFS(tTransactions[Amount],tTransactions[Type],"Expense",tTransactions[Month],6,tTransactions[Year],Year),"")</f>
        <v>5764.52</v>
      </c>
      <c r="E32" s="20" t="n">
        <f aca="false">IF(COUNTIFS(tTransactions[Month],6,tTransactions[Year],Year)&gt;0,SUMIFS(tTransactions[Amount],tTransactions[Type],"Investment",tTransactions[Month],6,tTransactions[Year],Year),"")</f>
        <v>1000</v>
      </c>
      <c r="F32" s="20" t="n">
        <f aca="false">IF(COUNTIFS(tTransactions[Month],6,tTransactions[Year],Year)&gt;0,C32+SUMIFS(tTransactions[Amount],tTransactions[Type],"Private loan in",tTransactions[Month],6,tTransactions[Year],Year)-D32-E32-SUMIFS(tTransactions[Amount],tTransactions[Type],"Loan payment",tTransactions[Month],6,tTransactions[Year],Year)-SUMIFS(tTransactions[Amount],tTransactions[Type],"Private loan out",tTransactions[Month],6,tTransactions[Year],Year),"")</f>
        <v>-14.5200000000004</v>
      </c>
      <c r="G32" s="20" t="n">
        <f aca="false">IF(COUNTIFS(tTransactions[Month],6,tTransactions[Year],Year)&gt;0,G31+F32,"")</f>
        <v>6418.47</v>
      </c>
      <c r="H32" s="20" t="n">
        <f aca="false">IF(COUNTIFS(tTransactions[Month],6,tTransactions[Year],Year)&gt;0,OpenInvest+SUMIFS(tTransactions[Amount],tTransactions[Type],"Investment",tTransactions[Month],"&lt;="&amp;6,tTransactions[Year],Year),"")</f>
        <v>23200</v>
      </c>
      <c r="I32" s="20" t="n">
        <f aca="false">IF(COUNTIFS(tTransactions[Month],6,tTransactions[Year],Year)&gt;0,OpenLoan-SUMIFS(tTransactions[Amount],tTransactions[Type],"Loan payment",tTransactions[Month],"&lt;="&amp;6,tTransactions[Year],Year),"")</f>
        <v>12600</v>
      </c>
      <c r="J32" s="20" t="n">
        <f aca="false">IF(COUNTIFS(tTransactions[Month],6,tTransactions[Year],Year)&gt;0,G32+H32-I32-Owed,"")</f>
        <v>15918.47</v>
      </c>
      <c r="K32" s="28" t="str">
        <f aca="false">IF(COUNTIFS(tTransactions[Month],6,tTransactions[Year],Year)&gt;0,IF(C32&gt;=MinIncome,"Reached","Below"),"")</f>
        <v>Reached</v>
      </c>
    </row>
    <row r="33" customFormat="false" ht="15" hidden="false" customHeight="false" outlineLevel="0" collapsed="false">
      <c r="B33" s="19" t="str">
        <f aca="false">INDEX({"January","February","March","April","May","June","July","August","September","October","November","December"},7)</f>
        <v>July</v>
      </c>
      <c r="C33" s="20" t="n">
        <f aca="false">IF(COUNTIFS(tTransactions[Month],7,tTransactions[Year],Year)&gt;0,SUMIFS(tTransactions[Amount],tTransactions[Type],"Income",tTransactions[Month],7,tTransactions[Year],Year),"")</f>
        <v>7554.18</v>
      </c>
      <c r="D33" s="20" t="n">
        <f aca="false">IF(COUNTIFS(tTransactions[Month],7,tTransactions[Year],Year)&gt;0,SUMIFS(tTransactions[Amount],tTransactions[Type],"Expense",tTransactions[Month],7,tTransactions[Year],Year),"")</f>
        <v>6036.41</v>
      </c>
      <c r="E33" s="20" t="n">
        <f aca="false">IF(COUNTIFS(tTransactions[Month],7,tTransactions[Year],Year)&gt;0,SUMIFS(tTransactions[Amount],tTransactions[Type],"Investment",tTransactions[Month],7,tTransactions[Year],Year),"")</f>
        <v>1500</v>
      </c>
      <c r="F33" s="20" t="n">
        <f aca="false">IF(COUNTIFS(tTransactions[Month],7,tTransactions[Year],Year)&gt;0,C33+SUMIFS(tTransactions[Amount],tTransactions[Type],"Private loan in",tTransactions[Month],7,tTransactions[Year],Year)-D33-E33-SUMIFS(tTransactions[Amount],tTransactions[Type],"Loan payment",tTransactions[Month],7,tTransactions[Year],Year)-SUMIFS(tTransactions[Amount],tTransactions[Type],"Private loan out",tTransactions[Month],7,tTransactions[Year],Year),"")</f>
        <v>-882.23</v>
      </c>
      <c r="G33" s="20" t="n">
        <f aca="false">IF(COUNTIFS(tTransactions[Month],7,tTransactions[Year],Year)&gt;0,G32+F33,"")</f>
        <v>5536.24</v>
      </c>
      <c r="H33" s="20" t="n">
        <f aca="false">IF(COUNTIFS(tTransactions[Month],7,tTransactions[Year],Year)&gt;0,OpenInvest+SUMIFS(tTransactions[Amount],tTransactions[Type],"Investment",tTransactions[Month],"&lt;="&amp;7,tTransactions[Year],Year),"")</f>
        <v>24700</v>
      </c>
      <c r="I33" s="20" t="n">
        <f aca="false">IF(COUNTIFS(tTransactions[Month],7,tTransactions[Year],Year)&gt;0,OpenLoan-SUMIFS(tTransactions[Amount],tTransactions[Type],"Loan payment",tTransactions[Month],"&lt;="&amp;7,tTransactions[Year],Year),"")</f>
        <v>11700</v>
      </c>
      <c r="J33" s="20" t="n">
        <f aca="false">IF(COUNTIFS(tTransactions[Month],7,tTransactions[Year],Year)&gt;0,G33+H33-I33-Owed,"")</f>
        <v>17436.24</v>
      </c>
      <c r="K33" s="28" t="str">
        <f aca="false">IF(COUNTIFS(tTransactions[Month],7,tTransactions[Year],Year)&gt;0,IF(C33&gt;=MinIncome,"Reached","Below"),"")</f>
        <v>Reached</v>
      </c>
    </row>
    <row r="34" customFormat="false" ht="15" hidden="false" customHeight="false" outlineLevel="0" collapsed="false">
      <c r="B34" s="19" t="str">
        <f aca="false">INDEX({"January","February","March","April","May","June","July","August","September","October","November","December"},8)</f>
        <v>August</v>
      </c>
      <c r="C34" s="20" t="n">
        <f aca="false">IF(COUNTIFS(tTransactions[Month],8,tTransactions[Year],Year)&gt;0,SUMIFS(tTransactions[Amount],tTransactions[Type],"Income",tTransactions[Month],8,tTransactions[Year],Year),"")</f>
        <v>7650</v>
      </c>
      <c r="D34" s="20" t="n">
        <f aca="false">IF(COUNTIFS(tTransactions[Month],8,tTransactions[Year],Year)&gt;0,SUMIFS(tTransactions[Amount],tTransactions[Type],"Expense",tTransactions[Month],8,tTransactions[Year],Year),"")</f>
        <v>6240.9</v>
      </c>
      <c r="E34" s="20" t="n">
        <f aca="false">IF(COUNTIFS(tTransactions[Month],8,tTransactions[Year],Year)&gt;0,SUMIFS(tTransactions[Amount],tTransactions[Type],"Investment",tTransactions[Month],8,tTransactions[Year],Year),"")</f>
        <v>1500</v>
      </c>
      <c r="F34" s="20" t="n">
        <f aca="false">IF(COUNTIFS(tTransactions[Month],8,tTransactions[Year],Year)&gt;0,C34+SUMIFS(tTransactions[Amount],tTransactions[Type],"Private loan in",tTransactions[Month],8,tTransactions[Year],Year)-D34-E34-SUMIFS(tTransactions[Amount],tTransactions[Type],"Loan payment",tTransactions[Month],8,tTransactions[Year],Year)-SUMIFS(tTransactions[Amount],tTransactions[Type],"Private loan out",tTransactions[Month],8,tTransactions[Year],Year),"")</f>
        <v>-990.9</v>
      </c>
      <c r="G34" s="20" t="n">
        <f aca="false">IF(COUNTIFS(tTransactions[Month],8,tTransactions[Year],Year)&gt;0,G33+F34,"")</f>
        <v>4545.34</v>
      </c>
      <c r="H34" s="20" t="n">
        <f aca="false">IF(COUNTIFS(tTransactions[Month],8,tTransactions[Year],Year)&gt;0,OpenInvest+SUMIFS(tTransactions[Amount],tTransactions[Type],"Investment",tTransactions[Month],"&lt;="&amp;8,tTransactions[Year],Year),"")</f>
        <v>26200</v>
      </c>
      <c r="I34" s="20" t="n">
        <f aca="false">IF(COUNTIFS(tTransactions[Month],8,tTransactions[Year],Year)&gt;0,OpenLoan-SUMIFS(tTransactions[Amount],tTransactions[Type],"Loan payment",tTransactions[Month],"&lt;="&amp;8,tTransactions[Year],Year),"")</f>
        <v>10800</v>
      </c>
      <c r="J34" s="20" t="n">
        <f aca="false">IF(COUNTIFS(tTransactions[Month],8,tTransactions[Year],Year)&gt;0,G34+H34-I34-Owed,"")</f>
        <v>18845.34</v>
      </c>
      <c r="K34" s="28" t="str">
        <f aca="false">IF(COUNTIFS(tTransactions[Month],8,tTransactions[Year],Year)&gt;0,IF(C34&gt;=MinIncome,"Reached","Below"),"")</f>
        <v>Reached</v>
      </c>
    </row>
    <row r="35" customFormat="false" ht="15" hidden="false" customHeight="false" outlineLevel="0" collapsed="false">
      <c r="B35" s="19" t="str">
        <f aca="false">INDEX({"January","February","March","April","May","June","July","August","September","October","November","December"},9)</f>
        <v>September</v>
      </c>
      <c r="C35" s="20" t="n">
        <f aca="false">IF(COUNTIFS(tTransactions[Month],9,tTransactions[Year],Year)&gt;0,SUMIFS(tTransactions[Amount],tTransactions[Type],"Income",tTransactions[Month],9,tTransactions[Year],Year),"")</f>
        <v>8164.5</v>
      </c>
      <c r="D35" s="20" t="n">
        <f aca="false">IF(COUNTIFS(tTransactions[Month],9,tTransactions[Year],Year)&gt;0,SUMIFS(tTransactions[Amount],tTransactions[Type],"Expense",tTransactions[Month],9,tTransactions[Year],Year),"")</f>
        <v>5316.63</v>
      </c>
      <c r="E35" s="20" t="n">
        <f aca="false">IF(COUNTIFS(tTransactions[Month],9,tTransactions[Year],Year)&gt;0,SUMIFS(tTransactions[Amount],tTransactions[Type],"Investment",tTransactions[Month],9,tTransactions[Year],Year),"")</f>
        <v>1200</v>
      </c>
      <c r="F35" s="20" t="n">
        <f aca="false">IF(COUNTIFS(tTransactions[Month],9,tTransactions[Year],Year)&gt;0,C35+SUMIFS(tTransactions[Amount],tTransactions[Type],"Private loan in",tTransactions[Month],9,tTransactions[Year],Year)-D35-E35-SUMIFS(tTransactions[Amount],tTransactions[Type],"Loan payment",tTransactions[Month],9,tTransactions[Year],Year)-SUMIFS(tTransactions[Amount],tTransactions[Type],"Private loan out",tTransactions[Month],9,tTransactions[Year],Year),"")</f>
        <v>747.87</v>
      </c>
      <c r="G35" s="20" t="n">
        <f aca="false">IF(COUNTIFS(tTransactions[Month],9,tTransactions[Year],Year)&gt;0,G34+F35,"")</f>
        <v>5293.21</v>
      </c>
      <c r="H35" s="20" t="n">
        <f aca="false">IF(COUNTIFS(tTransactions[Month],9,tTransactions[Year],Year)&gt;0,OpenInvest+SUMIFS(tTransactions[Amount],tTransactions[Type],"Investment",tTransactions[Month],"&lt;="&amp;9,tTransactions[Year],Year),"")</f>
        <v>27400</v>
      </c>
      <c r="I35" s="20" t="n">
        <f aca="false">IF(COUNTIFS(tTransactions[Month],9,tTransactions[Year],Year)&gt;0,OpenLoan-SUMIFS(tTransactions[Amount],tTransactions[Type],"Loan payment",tTransactions[Month],"&lt;="&amp;9,tTransactions[Year],Year),"")</f>
        <v>9900</v>
      </c>
      <c r="J35" s="20" t="n">
        <f aca="false">IF(COUNTIFS(tTransactions[Month],9,tTransactions[Year],Year)&gt;0,G35+H35-I35-Owed,"")</f>
        <v>21693.21</v>
      </c>
      <c r="K35" s="28" t="str">
        <f aca="false">IF(COUNTIFS(tTransactions[Month],9,tTransactions[Year],Year)&gt;0,IF(C35&gt;=MinIncome,"Reached","Below"),"")</f>
        <v>Reached</v>
      </c>
    </row>
    <row r="36" customFormat="false" ht="15" hidden="false" customHeight="false" outlineLevel="0" collapsed="false">
      <c r="B36" s="19" t="str">
        <f aca="false">INDEX({"January","February","March","April","May","June","July","August","September","October","November","December"},10)</f>
        <v>October</v>
      </c>
      <c r="C36" s="20" t="str">
        <f aca="false">IF(COUNTIFS(tTransactions[Month],10,tTransactions[Year],Year)&gt;0,SUMIFS(tTransactions[Amount],tTransactions[Type],"Income",tTransactions[Month],10,tTransactions[Year],Year),"")</f>
        <v/>
      </c>
      <c r="D36" s="20" t="str">
        <f aca="false">IF(COUNTIFS(tTransactions[Month],10,tTransactions[Year],Year)&gt;0,SUMIFS(tTransactions[Amount],tTransactions[Type],"Expense",tTransactions[Month],10,tTransactions[Year],Year),"")</f>
        <v/>
      </c>
      <c r="E36" s="20" t="str">
        <f aca="false">IF(COUNTIFS(tTransactions[Month],10,tTransactions[Year],Year)&gt;0,SUMIFS(tTransactions[Amount],tTransactions[Type],"Investment",tTransactions[Month],10,tTransactions[Year],Year),"")</f>
        <v/>
      </c>
      <c r="F36" s="20" t="str">
        <f aca="false">IF(COUNTIFS(tTransactions[Month],10,tTransactions[Year],Year)&gt;0,C36+SUMIFS(tTransactions[Amount],tTransactions[Type],"Private loan in",tTransactions[Month],10,tTransactions[Year],Year)-D36-E36-SUMIFS(tTransactions[Amount],tTransactions[Type],"Loan payment",tTransactions[Month],10,tTransactions[Year],Year)-SUMIFS(tTransactions[Amount],tTransactions[Type],"Private loan out",tTransactions[Month],10,tTransactions[Year],Year),"")</f>
        <v/>
      </c>
      <c r="G36" s="20" t="str">
        <f aca="false">IF(COUNTIFS(tTransactions[Month],10,tTransactions[Year],Year)&gt;0,G35+F36,"")</f>
        <v/>
      </c>
      <c r="H36" s="20" t="str">
        <f aca="false">IF(COUNTIFS(tTransactions[Month],10,tTransactions[Year],Year)&gt;0,OpenInvest+SUMIFS(tTransactions[Amount],tTransactions[Type],"Investment",tTransactions[Month],"&lt;="&amp;10,tTransactions[Year],Year),"")</f>
        <v/>
      </c>
      <c r="I36" s="20" t="str">
        <f aca="false">IF(COUNTIFS(tTransactions[Month],10,tTransactions[Year],Year)&gt;0,OpenLoan-SUMIFS(tTransactions[Amount],tTransactions[Type],"Loan payment",tTransactions[Month],"&lt;="&amp;10,tTransactions[Year],Year),"")</f>
        <v/>
      </c>
      <c r="J36" s="20" t="str">
        <f aca="false">IF(COUNTIFS(tTransactions[Month],10,tTransactions[Year],Year)&gt;0,G36+H36-I36-Owed,"")</f>
        <v/>
      </c>
      <c r="K36" s="28" t="str">
        <f aca="false">IF(COUNTIFS(tTransactions[Month],10,tTransactions[Year],Year)&gt;0,IF(C36&gt;=MinIncome,"Reached","Below"),"")</f>
        <v/>
      </c>
    </row>
    <row r="37" customFormat="false" ht="15" hidden="false" customHeight="false" outlineLevel="0" collapsed="false">
      <c r="B37" s="19" t="str">
        <f aca="false">INDEX({"January","February","March","April","May","June","July","August","September","October","November","December"},11)</f>
        <v>November</v>
      </c>
      <c r="C37" s="20" t="str">
        <f aca="false">IF(COUNTIFS(tTransactions[Month],11,tTransactions[Year],Year)&gt;0,SUMIFS(tTransactions[Amount],tTransactions[Type],"Income",tTransactions[Month],11,tTransactions[Year],Year),"")</f>
        <v/>
      </c>
      <c r="D37" s="20" t="str">
        <f aca="false">IF(COUNTIFS(tTransactions[Month],11,tTransactions[Year],Year)&gt;0,SUMIFS(tTransactions[Amount],tTransactions[Type],"Expense",tTransactions[Month],11,tTransactions[Year],Year),"")</f>
        <v/>
      </c>
      <c r="E37" s="20" t="str">
        <f aca="false">IF(COUNTIFS(tTransactions[Month],11,tTransactions[Year],Year)&gt;0,SUMIFS(tTransactions[Amount],tTransactions[Type],"Investment",tTransactions[Month],11,tTransactions[Year],Year),"")</f>
        <v/>
      </c>
      <c r="F37" s="20" t="str">
        <f aca="false">IF(COUNTIFS(tTransactions[Month],11,tTransactions[Year],Year)&gt;0,C37+SUMIFS(tTransactions[Amount],tTransactions[Type],"Private loan in",tTransactions[Month],11,tTransactions[Year],Year)-D37-E37-SUMIFS(tTransactions[Amount],tTransactions[Type],"Loan payment",tTransactions[Month],11,tTransactions[Year],Year)-SUMIFS(tTransactions[Amount],tTransactions[Type],"Private loan out",tTransactions[Month],11,tTransactions[Year],Year),"")</f>
        <v/>
      </c>
      <c r="G37" s="20" t="str">
        <f aca="false">IF(COUNTIFS(tTransactions[Month],11,tTransactions[Year],Year)&gt;0,G36+F37,"")</f>
        <v/>
      </c>
      <c r="H37" s="20" t="str">
        <f aca="false">IF(COUNTIFS(tTransactions[Month],11,tTransactions[Year],Year)&gt;0,OpenInvest+SUMIFS(tTransactions[Amount],tTransactions[Type],"Investment",tTransactions[Month],"&lt;="&amp;11,tTransactions[Year],Year),"")</f>
        <v/>
      </c>
      <c r="I37" s="20" t="str">
        <f aca="false">IF(COUNTIFS(tTransactions[Month],11,tTransactions[Year],Year)&gt;0,OpenLoan-SUMIFS(tTransactions[Amount],tTransactions[Type],"Loan payment",tTransactions[Month],"&lt;="&amp;11,tTransactions[Year],Year),"")</f>
        <v/>
      </c>
      <c r="J37" s="20" t="str">
        <f aca="false">IF(COUNTIFS(tTransactions[Month],11,tTransactions[Year],Year)&gt;0,G37+H37-I37-Owed,"")</f>
        <v/>
      </c>
      <c r="K37" s="28" t="str">
        <f aca="false">IF(COUNTIFS(tTransactions[Month],11,tTransactions[Year],Year)&gt;0,IF(C37&gt;=MinIncome,"Reached","Below"),"")</f>
        <v/>
      </c>
    </row>
    <row r="38" customFormat="false" ht="15" hidden="false" customHeight="false" outlineLevel="0" collapsed="false">
      <c r="B38" s="19" t="str">
        <f aca="false">INDEX({"January","February","March","April","May","June","July","August","September","October","November","December"},12)</f>
        <v>December</v>
      </c>
      <c r="C38" s="20" t="str">
        <f aca="false">IF(COUNTIFS(tTransactions[Month],12,tTransactions[Year],Year)&gt;0,SUMIFS(tTransactions[Amount],tTransactions[Type],"Income",tTransactions[Month],12,tTransactions[Year],Year),"")</f>
        <v/>
      </c>
      <c r="D38" s="20" t="str">
        <f aca="false">IF(COUNTIFS(tTransactions[Month],12,tTransactions[Year],Year)&gt;0,SUMIFS(tTransactions[Amount],tTransactions[Type],"Expense",tTransactions[Month],12,tTransactions[Year],Year),"")</f>
        <v/>
      </c>
      <c r="E38" s="20" t="str">
        <f aca="false">IF(COUNTIFS(tTransactions[Month],12,tTransactions[Year],Year)&gt;0,SUMIFS(tTransactions[Amount],tTransactions[Type],"Investment",tTransactions[Month],12,tTransactions[Year],Year),"")</f>
        <v/>
      </c>
      <c r="F38" s="20" t="str">
        <f aca="false">IF(COUNTIFS(tTransactions[Month],12,tTransactions[Year],Year)&gt;0,C38+SUMIFS(tTransactions[Amount],tTransactions[Type],"Private loan in",tTransactions[Month],12,tTransactions[Year],Year)-D38-E38-SUMIFS(tTransactions[Amount],tTransactions[Type],"Loan payment",tTransactions[Month],12,tTransactions[Year],Year)-SUMIFS(tTransactions[Amount],tTransactions[Type],"Private loan out",tTransactions[Month],12,tTransactions[Year],Year),"")</f>
        <v/>
      </c>
      <c r="G38" s="20" t="str">
        <f aca="false">IF(COUNTIFS(tTransactions[Month],12,tTransactions[Year],Year)&gt;0,G37+F38,"")</f>
        <v/>
      </c>
      <c r="H38" s="20" t="str">
        <f aca="false">IF(COUNTIFS(tTransactions[Month],12,tTransactions[Year],Year)&gt;0,OpenInvest+SUMIFS(tTransactions[Amount],tTransactions[Type],"Investment",tTransactions[Month],"&lt;="&amp;12,tTransactions[Year],Year),"")</f>
        <v/>
      </c>
      <c r="I38" s="20" t="str">
        <f aca="false">IF(COUNTIFS(tTransactions[Month],12,tTransactions[Year],Year)&gt;0,OpenLoan-SUMIFS(tTransactions[Amount],tTransactions[Type],"Loan payment",tTransactions[Month],"&lt;="&amp;12,tTransactions[Year],Year),"")</f>
        <v/>
      </c>
      <c r="J38" s="20" t="str">
        <f aca="false">IF(COUNTIFS(tTransactions[Month],12,tTransactions[Year],Year)&gt;0,G38+H38-I38-Owed,"")</f>
        <v/>
      </c>
      <c r="K38" s="28" t="str">
        <f aca="false">IF(COUNTIFS(tTransactions[Month],12,tTransactions[Year],Year)&gt;0,IF(C38&gt;=MinIncome,"Reached","Below"),"")</f>
        <v/>
      </c>
    </row>
  </sheetData>
  <mergeCells count="1">
    <mergeCell ref="B2:K2"/>
  </mergeCells>
  <conditionalFormatting sqref="E12:E20">
    <cfRule type="expression" priority="2" aboveAverage="0" equalAverage="0" bottom="0" percent="0" rank="0" text="" dxfId="0">
      <formula>E12&gt;1</formula>
    </cfRule>
    <cfRule type="expression" priority="3" aboveAverage="0" equalAverage="0" bottom="0" percent="0" rank="0" text="" dxfId="1">
      <formula>AND(E12&gt;0.9,E12&lt;=1)</formula>
    </cfRule>
    <cfRule type="expression" priority="4" aboveAverage="0" equalAverage="0" bottom="0" percent="0" rank="0" text="" dxfId="2">
      <formula>E12&lt;=0.9</formula>
    </cfRule>
  </conditionalFormatting>
  <conditionalFormatting sqref="C12:C19">
    <cfRule type="dataBar" priority="5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{9166EBB5-7AA6-417E-84CA-6B53EDCDB13A}</x14:id>
        </ext>
      </extLst>
    </cfRule>
  </conditionalFormatting>
  <conditionalFormatting sqref="B27:K38">
    <cfRule type="expression" priority="6" aboveAverage="0" equalAverage="0" bottom="0" percent="0" rank="0" text="" dxfId="3">
      <formula>$B27=INDEX({"January","February","March","April","May","June","July","August","September","October","November","December"},SelMonth)</formula>
    </cfRule>
  </conditionalFormatting>
  <conditionalFormatting sqref="K27:K38">
    <cfRule type="expression" priority="7" aboveAverage="0" equalAverage="0" bottom="0" percent="0" rank="0" text="" dxfId="4">
      <formula>K27="Below"</formula>
    </cfRule>
  </conditionalFormatting>
  <conditionalFormatting sqref="F27:F38">
    <cfRule type="expression" priority="8" aboveAverage="0" equalAverage="0" bottom="0" percent="0" rank="0" text="" dxfId="5">
      <formula>AND(ISNUMBER(F27),F27&lt;0)</formula>
    </cfRule>
  </conditionalFormatting>
  <dataValidations count="1">
    <dataValidation allowBlank="false" errorStyle="stop" operator="between" showDropDown="false" showErrorMessage="false" showInputMessage="false" sqref="C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66EBB5-7AA6-417E-84CA-6B53EDCDB13A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C12:C19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7" min="6" style="0" width="8"/>
  </cols>
  <sheetData>
    <row r="1" customFormat="false" ht="15" hidden="false" customHeight="false" outlineLevel="0" collapsed="false">
      <c r="A1" s="29" t="s">
        <v>69</v>
      </c>
      <c r="B1" s="29" t="s">
        <v>46</v>
      </c>
      <c r="C1" s="29" t="s">
        <v>70</v>
      </c>
      <c r="D1" s="29" t="s">
        <v>71</v>
      </c>
      <c r="E1" s="29" t="s">
        <v>72</v>
      </c>
      <c r="F1" s="29" t="s">
        <v>59</v>
      </c>
      <c r="G1" s="29" t="s">
        <v>73</v>
      </c>
      <c r="I1" s="2" t="s">
        <v>74</v>
      </c>
    </row>
    <row r="2" customFormat="false" ht="15" hidden="false" customHeight="false" outlineLevel="0" collapsed="false">
      <c r="A2" s="30" t="n">
        <v>46023</v>
      </c>
      <c r="B2" s="31" t="s">
        <v>75</v>
      </c>
      <c r="C2" s="32" t="n">
        <v>2200</v>
      </c>
      <c r="D2" s="31" t="s">
        <v>76</v>
      </c>
      <c r="E2" s="33" t="str">
        <f aca="false">IFERROR(INDEX(tCategories[Type],MATCH(tTransactions[[#This Row],[Category]],tCategories[Category],0)),"Unknown category")</f>
        <v>Expense</v>
      </c>
      <c r="F2" s="34" t="n">
        <f aca="false">MONTH(tTransactions[[#This Row],[Date]])</f>
        <v>1</v>
      </c>
      <c r="G2" s="34" t="n">
        <f aca="false">YEAR(tTransactions[[#This Row],[Date]])</f>
        <v>2026</v>
      </c>
    </row>
    <row r="3" customFormat="false" ht="15" hidden="false" customHeight="false" outlineLevel="0" collapsed="false">
      <c r="A3" s="30" t="n">
        <v>46023</v>
      </c>
      <c r="B3" s="31" t="s">
        <v>77</v>
      </c>
      <c r="C3" s="32" t="n">
        <v>101.41</v>
      </c>
      <c r="D3" s="31" t="s">
        <v>78</v>
      </c>
      <c r="E3" s="33" t="str">
        <f aca="false">IFERROR(INDEX(tCategories[Type],MATCH(tTransactions[[#This Row],[Category]],tCategories[Category],0)),"Unknown category")</f>
        <v>Expense</v>
      </c>
      <c r="F3" s="34" t="n">
        <f aca="false">MONTH(tTransactions[[#This Row],[Date]])</f>
        <v>1</v>
      </c>
      <c r="G3" s="34" t="n">
        <f aca="false">YEAR(tTransactions[[#This Row],[Date]])</f>
        <v>2026</v>
      </c>
    </row>
    <row r="4" customFormat="false" ht="15" hidden="false" customHeight="false" outlineLevel="0" collapsed="false">
      <c r="A4" s="30" t="n">
        <v>46025</v>
      </c>
      <c r="B4" s="31" t="s">
        <v>77</v>
      </c>
      <c r="C4" s="32" t="n">
        <v>105.18</v>
      </c>
      <c r="D4" s="31" t="s">
        <v>78</v>
      </c>
      <c r="E4" s="33" t="str">
        <f aca="false">IFERROR(INDEX(tCategories[Type],MATCH(tTransactions[[#This Row],[Category]],tCategories[Category],0)),"Unknown category")</f>
        <v>Expense</v>
      </c>
      <c r="F4" s="34" t="n">
        <f aca="false">MONTH(tTransactions[[#This Row],[Date]])</f>
        <v>1</v>
      </c>
      <c r="G4" s="34" t="n">
        <f aca="false">YEAR(tTransactions[[#This Row],[Date]])</f>
        <v>2026</v>
      </c>
    </row>
    <row r="5" customFormat="false" ht="15" hidden="false" customHeight="false" outlineLevel="0" collapsed="false">
      <c r="A5" s="30" t="n">
        <v>46025</v>
      </c>
      <c r="B5" s="31" t="s">
        <v>79</v>
      </c>
      <c r="C5" s="32" t="n">
        <v>243.93</v>
      </c>
      <c r="D5" s="31" t="s">
        <v>80</v>
      </c>
      <c r="E5" s="33" t="str">
        <f aca="false">IFERROR(INDEX(tCategories[Type],MATCH(tTransactions[[#This Row],[Category]],tCategories[Category],0)),"Unknown category")</f>
        <v>Income</v>
      </c>
      <c r="F5" s="34" t="n">
        <f aca="false">MONTH(tTransactions[[#This Row],[Date]])</f>
        <v>1</v>
      </c>
      <c r="G5" s="34" t="n">
        <f aca="false">YEAR(tTransactions[[#This Row],[Date]])</f>
        <v>2026</v>
      </c>
    </row>
    <row r="6" customFormat="false" ht="15" hidden="false" customHeight="false" outlineLevel="0" collapsed="false">
      <c r="A6" s="30" t="n">
        <v>46026</v>
      </c>
      <c r="B6" s="31" t="s">
        <v>77</v>
      </c>
      <c r="C6" s="32" t="n">
        <v>61.08</v>
      </c>
      <c r="D6" s="31" t="s">
        <v>81</v>
      </c>
      <c r="E6" s="33" t="str">
        <f aca="false">IFERROR(INDEX(tCategories[Type],MATCH(tTransactions[[#This Row],[Category]],tCategories[Category],0)),"Unknown category")</f>
        <v>Expense</v>
      </c>
      <c r="F6" s="34" t="n">
        <f aca="false">MONTH(tTransactions[[#This Row],[Date]])</f>
        <v>1</v>
      </c>
      <c r="G6" s="34" t="n">
        <f aca="false">YEAR(tTransactions[[#This Row],[Date]])</f>
        <v>2026</v>
      </c>
    </row>
    <row r="7" customFormat="false" ht="15" hidden="false" customHeight="false" outlineLevel="0" collapsed="false">
      <c r="A7" s="30" t="n">
        <v>46026</v>
      </c>
      <c r="B7" s="31" t="s">
        <v>82</v>
      </c>
      <c r="C7" s="32" t="n">
        <v>213.54</v>
      </c>
      <c r="D7" s="31" t="s">
        <v>83</v>
      </c>
      <c r="E7" s="33" t="str">
        <f aca="false">IFERROR(INDEX(tCategories[Type],MATCH(tTransactions[[#This Row],[Category]],tCategories[Category],0)),"Unknown category")</f>
        <v>Expense</v>
      </c>
      <c r="F7" s="34" t="n">
        <f aca="false">MONTH(tTransactions[[#This Row],[Date]])</f>
        <v>1</v>
      </c>
      <c r="G7" s="34" t="n">
        <f aca="false">YEAR(tTransactions[[#This Row],[Date]])</f>
        <v>2026</v>
      </c>
    </row>
    <row r="8" customFormat="false" ht="15" hidden="false" customHeight="false" outlineLevel="0" collapsed="false">
      <c r="A8" s="30" t="n">
        <v>46026</v>
      </c>
      <c r="B8" s="31" t="s">
        <v>84</v>
      </c>
      <c r="C8" s="32" t="n">
        <v>38</v>
      </c>
      <c r="D8" s="31" t="s">
        <v>85</v>
      </c>
      <c r="E8" s="33" t="str">
        <f aca="false">IFERROR(INDEX(tCategories[Type],MATCH(tTransactions[[#This Row],[Category]],tCategories[Category],0)),"Unknown category")</f>
        <v>Expense</v>
      </c>
      <c r="F8" s="34" t="n">
        <f aca="false">MONTH(tTransactions[[#This Row],[Date]])</f>
        <v>1</v>
      </c>
      <c r="G8" s="34" t="n">
        <f aca="false">YEAR(tTransactions[[#This Row],[Date]])</f>
        <v>2026</v>
      </c>
    </row>
    <row r="9" customFormat="false" ht="15" hidden="false" customHeight="false" outlineLevel="0" collapsed="false">
      <c r="A9" s="30" t="n">
        <v>46027</v>
      </c>
      <c r="B9" s="31" t="s">
        <v>77</v>
      </c>
      <c r="C9" s="32" t="n">
        <v>144.43</v>
      </c>
      <c r="D9" s="31" t="s">
        <v>81</v>
      </c>
      <c r="E9" s="33" t="str">
        <f aca="false">IFERROR(INDEX(tCategories[Type],MATCH(tTransactions[[#This Row],[Category]],tCategories[Category],0)),"Unknown category")</f>
        <v>Expense</v>
      </c>
      <c r="F9" s="34" t="n">
        <f aca="false">MONTH(tTransactions[[#This Row],[Date]])</f>
        <v>1</v>
      </c>
      <c r="G9" s="34" t="n">
        <f aca="false">YEAR(tTransactions[[#This Row],[Date]])</f>
        <v>2026</v>
      </c>
    </row>
    <row r="10" customFormat="false" ht="15" hidden="false" customHeight="false" outlineLevel="0" collapsed="false">
      <c r="A10" s="30" t="n">
        <v>46029</v>
      </c>
      <c r="B10" s="31" t="s">
        <v>77</v>
      </c>
      <c r="C10" s="32" t="n">
        <v>82.33</v>
      </c>
      <c r="D10" s="31" t="s">
        <v>78</v>
      </c>
      <c r="E10" s="33" t="str">
        <f aca="false">IFERROR(INDEX(tCategories[Type],MATCH(tTransactions[[#This Row],[Category]],tCategories[Category],0)),"Unknown category")</f>
        <v>Expense</v>
      </c>
      <c r="F10" s="34" t="n">
        <f aca="false">MONTH(tTransactions[[#This Row],[Date]])</f>
        <v>1</v>
      </c>
      <c r="G10" s="34" t="n">
        <f aca="false">YEAR(tTransactions[[#This Row],[Date]])</f>
        <v>2026</v>
      </c>
    </row>
    <row r="11" customFormat="false" ht="15" hidden="false" customHeight="false" outlineLevel="0" collapsed="false">
      <c r="A11" s="30" t="n">
        <v>46029</v>
      </c>
      <c r="B11" s="31" t="s">
        <v>84</v>
      </c>
      <c r="C11" s="32" t="n">
        <v>113.89</v>
      </c>
      <c r="D11" s="31" t="s">
        <v>86</v>
      </c>
      <c r="E11" s="33" t="str">
        <f aca="false">IFERROR(INDEX(tCategories[Type],MATCH(tTransactions[[#This Row],[Category]],tCategories[Category],0)),"Unknown category")</f>
        <v>Expense</v>
      </c>
      <c r="F11" s="34" t="n">
        <f aca="false">MONTH(tTransactions[[#This Row],[Date]])</f>
        <v>1</v>
      </c>
      <c r="G11" s="34" t="n">
        <f aca="false">YEAR(tTransactions[[#This Row],[Date]])</f>
        <v>2026</v>
      </c>
    </row>
    <row r="12" customFormat="false" ht="15" hidden="false" customHeight="false" outlineLevel="0" collapsed="false">
      <c r="A12" s="30" t="n">
        <v>46031</v>
      </c>
      <c r="B12" s="31" t="s">
        <v>87</v>
      </c>
      <c r="C12" s="32" t="n">
        <v>232.87</v>
      </c>
      <c r="D12" s="31" t="s">
        <v>88</v>
      </c>
      <c r="E12" s="33" t="str">
        <f aca="false">IFERROR(INDEX(tCategories[Type],MATCH(tTransactions[[#This Row],[Category]],tCategories[Category],0)),"Unknown category")</f>
        <v>Expense</v>
      </c>
      <c r="F12" s="34" t="n">
        <f aca="false">MONTH(tTransactions[[#This Row],[Date]])</f>
        <v>1</v>
      </c>
      <c r="G12" s="34" t="n">
        <f aca="false">YEAR(tTransactions[[#This Row],[Date]])</f>
        <v>2026</v>
      </c>
    </row>
    <row r="13" customFormat="false" ht="15" hidden="false" customHeight="false" outlineLevel="0" collapsed="false">
      <c r="A13" s="30" t="n">
        <v>46032</v>
      </c>
      <c r="B13" s="31" t="s">
        <v>89</v>
      </c>
      <c r="C13" s="32" t="n">
        <v>7250</v>
      </c>
      <c r="D13" s="31" t="s">
        <v>90</v>
      </c>
      <c r="E13" s="33" t="str">
        <f aca="false">IFERROR(INDEX(tCategories[Type],MATCH(tTransactions[[#This Row],[Category]],tCategories[Category],0)),"Unknown category")</f>
        <v>Income</v>
      </c>
      <c r="F13" s="34" t="n">
        <f aca="false">MONTH(tTransactions[[#This Row],[Date]])</f>
        <v>1</v>
      </c>
      <c r="G13" s="34" t="n">
        <f aca="false">YEAR(tTransactions[[#This Row],[Date]])</f>
        <v>2026</v>
      </c>
    </row>
    <row r="14" customFormat="false" ht="15" hidden="false" customHeight="false" outlineLevel="0" collapsed="false">
      <c r="A14" s="30" t="n">
        <v>46032</v>
      </c>
      <c r="B14" s="31" t="s">
        <v>77</v>
      </c>
      <c r="C14" s="32" t="n">
        <v>23.06</v>
      </c>
      <c r="D14" s="31" t="s">
        <v>78</v>
      </c>
      <c r="E14" s="33" t="str">
        <f aca="false">IFERROR(INDEX(tCategories[Type],MATCH(tTransactions[[#This Row],[Category]],tCategories[Category],0)),"Unknown category")</f>
        <v>Expense</v>
      </c>
      <c r="F14" s="34" t="n">
        <f aca="false">MONTH(tTransactions[[#This Row],[Date]])</f>
        <v>1</v>
      </c>
      <c r="G14" s="34" t="n">
        <f aca="false">YEAR(tTransactions[[#This Row],[Date]])</f>
        <v>2026</v>
      </c>
    </row>
    <row r="15" customFormat="false" ht="15" hidden="false" customHeight="false" outlineLevel="0" collapsed="false">
      <c r="A15" s="30" t="n">
        <v>46033</v>
      </c>
      <c r="B15" s="31" t="s">
        <v>62</v>
      </c>
      <c r="C15" s="32" t="n">
        <v>1200</v>
      </c>
      <c r="D15" s="31" t="s">
        <v>91</v>
      </c>
      <c r="E15" s="33" t="str">
        <f aca="false">IFERROR(INDEX(tCategories[Type],MATCH(tTransactions[[#This Row],[Category]],tCategories[Category],0)),"Unknown category")</f>
        <v>Investment</v>
      </c>
      <c r="F15" s="34" t="n">
        <f aca="false">MONTH(tTransactions[[#This Row],[Date]])</f>
        <v>1</v>
      </c>
      <c r="G15" s="34" t="n">
        <f aca="false">YEAR(tTransactions[[#This Row],[Date]])</f>
        <v>2026</v>
      </c>
    </row>
    <row r="16" customFormat="false" ht="15" hidden="false" customHeight="false" outlineLevel="0" collapsed="false">
      <c r="A16" s="30" t="n">
        <v>46033</v>
      </c>
      <c r="B16" s="31" t="s">
        <v>82</v>
      </c>
      <c r="C16" s="32" t="n">
        <v>210.7</v>
      </c>
      <c r="D16" s="31" t="s">
        <v>83</v>
      </c>
      <c r="E16" s="33" t="str">
        <f aca="false">IFERROR(INDEX(tCategories[Type],MATCH(tTransactions[[#This Row],[Category]],tCategories[Category],0)),"Unknown category")</f>
        <v>Expense</v>
      </c>
      <c r="F16" s="34" t="n">
        <f aca="false">MONTH(tTransactions[[#This Row],[Date]])</f>
        <v>1</v>
      </c>
      <c r="G16" s="34" t="n">
        <f aca="false">YEAR(tTransactions[[#This Row],[Date]])</f>
        <v>2026</v>
      </c>
    </row>
    <row r="17" customFormat="false" ht="15" hidden="false" customHeight="false" outlineLevel="0" collapsed="false">
      <c r="A17" s="30" t="n">
        <v>46034</v>
      </c>
      <c r="B17" s="31" t="s">
        <v>92</v>
      </c>
      <c r="C17" s="32" t="n">
        <v>900</v>
      </c>
      <c r="D17" s="31" t="s">
        <v>93</v>
      </c>
      <c r="E17" s="33" t="str">
        <f aca="false">IFERROR(INDEX(tCategories[Type],MATCH(tTransactions[[#This Row],[Category]],tCategories[Category],0)),"Unknown category")</f>
        <v>Loan payment</v>
      </c>
      <c r="F17" s="34" t="n">
        <f aca="false">MONTH(tTransactions[[#This Row],[Date]])</f>
        <v>1</v>
      </c>
      <c r="G17" s="34" t="n">
        <f aca="false">YEAR(tTransactions[[#This Row],[Date]])</f>
        <v>2026</v>
      </c>
    </row>
    <row r="18" customFormat="false" ht="15" hidden="false" customHeight="false" outlineLevel="0" collapsed="false">
      <c r="A18" s="30" t="n">
        <v>46035</v>
      </c>
      <c r="B18" s="31" t="s">
        <v>77</v>
      </c>
      <c r="C18" s="32" t="n">
        <v>101.92</v>
      </c>
      <c r="D18" s="31" t="s">
        <v>78</v>
      </c>
      <c r="E18" s="33" t="str">
        <f aca="false">IFERROR(INDEX(tCategories[Type],MATCH(tTransactions[[#This Row],[Category]],tCategories[Category],0)),"Unknown category")</f>
        <v>Expense</v>
      </c>
      <c r="F18" s="34" t="n">
        <f aca="false">MONTH(tTransactions[[#This Row],[Date]])</f>
        <v>1</v>
      </c>
      <c r="G18" s="34" t="n">
        <f aca="false">YEAR(tTransactions[[#This Row],[Date]])</f>
        <v>2026</v>
      </c>
    </row>
    <row r="19" customFormat="false" ht="15" hidden="false" customHeight="false" outlineLevel="0" collapsed="false">
      <c r="A19" s="30" t="n">
        <v>46036</v>
      </c>
      <c r="B19" s="31" t="s">
        <v>77</v>
      </c>
      <c r="C19" s="32" t="n">
        <v>108.92</v>
      </c>
      <c r="D19" s="31"/>
      <c r="E19" s="33" t="str">
        <f aca="false">IFERROR(INDEX(tCategories[Type],MATCH(tTransactions[[#This Row],[Category]],tCategories[Category],0)),"Unknown category")</f>
        <v>Expense</v>
      </c>
      <c r="F19" s="34" t="n">
        <f aca="false">MONTH(tTransactions[[#This Row],[Date]])</f>
        <v>1</v>
      </c>
      <c r="G19" s="34" t="n">
        <f aca="false">YEAR(tTransactions[[#This Row],[Date]])</f>
        <v>2026</v>
      </c>
    </row>
    <row r="20" customFormat="false" ht="15" hidden="false" customHeight="false" outlineLevel="0" collapsed="false">
      <c r="A20" s="30" t="n">
        <v>46037</v>
      </c>
      <c r="B20" s="31" t="s">
        <v>75</v>
      </c>
      <c r="C20" s="32" t="n">
        <v>499</v>
      </c>
      <c r="D20" s="31" t="s">
        <v>94</v>
      </c>
      <c r="E20" s="33" t="str">
        <f aca="false">IFERROR(INDEX(tCategories[Type],MATCH(tTransactions[[#This Row],[Category]],tCategories[Category],0)),"Unknown category")</f>
        <v>Expense</v>
      </c>
      <c r="F20" s="34" t="n">
        <f aca="false">MONTH(tTransactions[[#This Row],[Date]])</f>
        <v>1</v>
      </c>
      <c r="G20" s="34" t="n">
        <f aca="false">YEAR(tTransactions[[#This Row],[Date]])</f>
        <v>2026</v>
      </c>
    </row>
    <row r="21" customFormat="false" ht="15" hidden="false" customHeight="false" outlineLevel="0" collapsed="false">
      <c r="A21" s="30" t="n">
        <v>46037</v>
      </c>
      <c r="B21" s="31" t="s">
        <v>77</v>
      </c>
      <c r="C21" s="32" t="n">
        <v>30.07</v>
      </c>
      <c r="D21" s="31" t="s">
        <v>95</v>
      </c>
      <c r="E21" s="33" t="str">
        <f aca="false">IFERROR(INDEX(tCategories[Type],MATCH(tTransactions[[#This Row],[Category]],tCategories[Category],0)),"Unknown category")</f>
        <v>Expense</v>
      </c>
      <c r="F21" s="34" t="n">
        <f aca="false">MONTH(tTransactions[[#This Row],[Date]])</f>
        <v>1</v>
      </c>
      <c r="G21" s="34" t="n">
        <f aca="false">YEAR(tTransactions[[#This Row],[Date]])</f>
        <v>2026</v>
      </c>
    </row>
    <row r="22" customFormat="false" ht="15" hidden="false" customHeight="false" outlineLevel="0" collapsed="false">
      <c r="A22" s="30" t="n">
        <v>46038</v>
      </c>
      <c r="B22" s="31" t="s">
        <v>77</v>
      </c>
      <c r="C22" s="32" t="n">
        <v>96.28</v>
      </c>
      <c r="D22" s="31" t="s">
        <v>81</v>
      </c>
      <c r="E22" s="33" t="str">
        <f aca="false">IFERROR(INDEX(tCategories[Type],MATCH(tTransactions[[#This Row],[Category]],tCategories[Category],0)),"Unknown category")</f>
        <v>Expense</v>
      </c>
      <c r="F22" s="34" t="n">
        <f aca="false">MONTH(tTransactions[[#This Row],[Date]])</f>
        <v>1</v>
      </c>
      <c r="G22" s="34" t="n">
        <f aca="false">YEAR(tTransactions[[#This Row],[Date]])</f>
        <v>2026</v>
      </c>
    </row>
    <row r="23" customFormat="false" ht="15" hidden="false" customHeight="false" outlineLevel="0" collapsed="false">
      <c r="A23" s="30" t="n">
        <v>46040</v>
      </c>
      <c r="B23" s="31" t="s">
        <v>77</v>
      </c>
      <c r="C23" s="32" t="n">
        <v>50.61</v>
      </c>
      <c r="D23" s="31" t="s">
        <v>95</v>
      </c>
      <c r="E23" s="33" t="str">
        <f aca="false">IFERROR(INDEX(tCategories[Type],MATCH(tTransactions[[#This Row],[Category]],tCategories[Category],0)),"Unknown category")</f>
        <v>Expense</v>
      </c>
      <c r="F23" s="34" t="n">
        <f aca="false">MONTH(tTransactions[[#This Row],[Date]])</f>
        <v>1</v>
      </c>
      <c r="G23" s="34" t="n">
        <f aca="false">YEAR(tTransactions[[#This Row],[Date]])</f>
        <v>2026</v>
      </c>
    </row>
    <row r="24" customFormat="false" ht="15" hidden="false" customHeight="false" outlineLevel="0" collapsed="false">
      <c r="A24" s="30" t="n">
        <v>46040</v>
      </c>
      <c r="B24" s="31" t="s">
        <v>82</v>
      </c>
      <c r="C24" s="32" t="n">
        <v>211.59</v>
      </c>
      <c r="D24" s="31" t="s">
        <v>83</v>
      </c>
      <c r="E24" s="33" t="str">
        <f aca="false">IFERROR(INDEX(tCategories[Type],MATCH(tTransactions[[#This Row],[Category]],tCategories[Category],0)),"Unknown category")</f>
        <v>Expense</v>
      </c>
      <c r="F24" s="34" t="n">
        <f aca="false">MONTH(tTransactions[[#This Row],[Date]])</f>
        <v>1</v>
      </c>
      <c r="G24" s="34" t="n">
        <f aca="false">YEAR(tTransactions[[#This Row],[Date]])</f>
        <v>2026</v>
      </c>
    </row>
    <row r="25" customFormat="false" ht="15" hidden="false" customHeight="false" outlineLevel="0" collapsed="false">
      <c r="A25" s="30" t="n">
        <v>46041</v>
      </c>
      <c r="B25" s="31" t="s">
        <v>77</v>
      </c>
      <c r="C25" s="32" t="n">
        <v>97.97</v>
      </c>
      <c r="D25" s="31" t="s">
        <v>81</v>
      </c>
      <c r="E25" s="33" t="str">
        <f aca="false">IFERROR(INDEX(tCategories[Type],MATCH(tTransactions[[#This Row],[Category]],tCategories[Category],0)),"Unknown category")</f>
        <v>Expense</v>
      </c>
      <c r="F25" s="34" t="n">
        <f aca="false">MONTH(tTransactions[[#This Row],[Date]])</f>
        <v>1</v>
      </c>
      <c r="G25" s="34" t="n">
        <f aca="false">YEAR(tTransactions[[#This Row],[Date]])</f>
        <v>2026</v>
      </c>
    </row>
    <row r="26" customFormat="false" ht="15" hidden="false" customHeight="false" outlineLevel="0" collapsed="false">
      <c r="A26" s="30" t="n">
        <v>46042</v>
      </c>
      <c r="B26" s="31" t="s">
        <v>77</v>
      </c>
      <c r="C26" s="32" t="n">
        <v>138.21</v>
      </c>
      <c r="D26" s="31"/>
      <c r="E26" s="33" t="str">
        <f aca="false">IFERROR(INDEX(tCategories[Type],MATCH(tTransactions[[#This Row],[Category]],tCategories[Category],0)),"Unknown category")</f>
        <v>Expense</v>
      </c>
      <c r="F26" s="34" t="n">
        <f aca="false">MONTH(tTransactions[[#This Row],[Date]])</f>
        <v>1</v>
      </c>
      <c r="G26" s="34" t="n">
        <f aca="false">YEAR(tTransactions[[#This Row],[Date]])</f>
        <v>2026</v>
      </c>
    </row>
    <row r="27" customFormat="false" ht="15" hidden="false" customHeight="false" outlineLevel="0" collapsed="false">
      <c r="A27" s="30" t="n">
        <v>46042</v>
      </c>
      <c r="B27" s="31" t="s">
        <v>96</v>
      </c>
      <c r="C27" s="32" t="n">
        <v>90</v>
      </c>
      <c r="D27" s="31" t="s">
        <v>97</v>
      </c>
      <c r="E27" s="33" t="str">
        <f aca="false">IFERROR(INDEX(tCategories[Type],MATCH(tTransactions[[#This Row],[Category]],tCategories[Category],0)),"Unknown category")</f>
        <v>Expense</v>
      </c>
      <c r="F27" s="34" t="n">
        <f aca="false">MONTH(tTransactions[[#This Row],[Date]])</f>
        <v>1</v>
      </c>
      <c r="G27" s="34" t="n">
        <f aca="false">YEAR(tTransactions[[#This Row],[Date]])</f>
        <v>2026</v>
      </c>
    </row>
    <row r="28" customFormat="false" ht="15" hidden="false" customHeight="false" outlineLevel="0" collapsed="false">
      <c r="A28" s="30" t="n">
        <v>46043</v>
      </c>
      <c r="B28" s="31" t="s">
        <v>77</v>
      </c>
      <c r="C28" s="32" t="n">
        <v>20.4</v>
      </c>
      <c r="D28" s="31" t="s">
        <v>81</v>
      </c>
      <c r="E28" s="33" t="str">
        <f aca="false">IFERROR(INDEX(tCategories[Type],MATCH(tTransactions[[#This Row],[Category]],tCategories[Category],0)),"Unknown category")</f>
        <v>Expense</v>
      </c>
      <c r="F28" s="34" t="n">
        <f aca="false">MONTH(tTransactions[[#This Row],[Date]])</f>
        <v>1</v>
      </c>
      <c r="G28" s="34" t="n">
        <f aca="false">YEAR(tTransactions[[#This Row],[Date]])</f>
        <v>2026</v>
      </c>
    </row>
    <row r="29" customFormat="false" ht="15" hidden="false" customHeight="false" outlineLevel="0" collapsed="false">
      <c r="A29" s="30" t="n">
        <v>46044</v>
      </c>
      <c r="B29" s="31" t="s">
        <v>77</v>
      </c>
      <c r="C29" s="32" t="n">
        <v>149.64</v>
      </c>
      <c r="D29" s="31" t="s">
        <v>81</v>
      </c>
      <c r="E29" s="33" t="str">
        <f aca="false">IFERROR(INDEX(tCategories[Type],MATCH(tTransactions[[#This Row],[Category]],tCategories[Category],0)),"Unknown category")</f>
        <v>Expense</v>
      </c>
      <c r="F29" s="34" t="n">
        <f aca="false">MONTH(tTransactions[[#This Row],[Date]])</f>
        <v>1</v>
      </c>
      <c r="G29" s="34" t="n">
        <f aca="false">YEAR(tTransactions[[#This Row],[Date]])</f>
        <v>2026</v>
      </c>
    </row>
    <row r="30" customFormat="false" ht="15" hidden="false" customHeight="false" outlineLevel="0" collapsed="false">
      <c r="A30" s="30" t="n">
        <v>46045</v>
      </c>
      <c r="B30" s="31" t="s">
        <v>77</v>
      </c>
      <c r="C30" s="32" t="n">
        <v>157.21</v>
      </c>
      <c r="D30" s="31"/>
      <c r="E30" s="33" t="str">
        <f aca="false">IFERROR(INDEX(tCategories[Type],MATCH(tTransactions[[#This Row],[Category]],tCategories[Category],0)),"Unknown category")</f>
        <v>Expense</v>
      </c>
      <c r="F30" s="34" t="n">
        <f aca="false">MONTH(tTransactions[[#This Row],[Date]])</f>
        <v>1</v>
      </c>
      <c r="G30" s="34" t="n">
        <f aca="false">YEAR(tTransactions[[#This Row],[Date]])</f>
        <v>2026</v>
      </c>
    </row>
    <row r="31" customFormat="false" ht="15" hidden="false" customHeight="false" outlineLevel="0" collapsed="false">
      <c r="A31" s="30" t="n">
        <v>46046</v>
      </c>
      <c r="B31" s="31" t="s">
        <v>77</v>
      </c>
      <c r="C31" s="32" t="n">
        <v>98.41</v>
      </c>
      <c r="D31" s="31" t="s">
        <v>78</v>
      </c>
      <c r="E31" s="33" t="str">
        <f aca="false">IFERROR(INDEX(tCategories[Type],MATCH(tTransactions[[#This Row],[Category]],tCategories[Category],0)),"Unknown category")</f>
        <v>Expense</v>
      </c>
      <c r="F31" s="34" t="n">
        <f aca="false">MONTH(tTransactions[[#This Row],[Date]])</f>
        <v>1</v>
      </c>
      <c r="G31" s="34" t="n">
        <f aca="false">YEAR(tTransactions[[#This Row],[Date]])</f>
        <v>2026</v>
      </c>
    </row>
    <row r="32" customFormat="false" ht="15" hidden="false" customHeight="false" outlineLevel="0" collapsed="false">
      <c r="A32" s="30" t="n">
        <v>46047</v>
      </c>
      <c r="B32" s="31" t="s">
        <v>82</v>
      </c>
      <c r="C32" s="32" t="n">
        <v>259.2</v>
      </c>
      <c r="D32" s="31" t="s">
        <v>83</v>
      </c>
      <c r="E32" s="33" t="str">
        <f aca="false">IFERROR(INDEX(tCategories[Type],MATCH(tTransactions[[#This Row],[Category]],tCategories[Category],0)),"Unknown category")</f>
        <v>Expense</v>
      </c>
      <c r="F32" s="34" t="n">
        <f aca="false">MONTH(tTransactions[[#This Row],[Date]])</f>
        <v>1</v>
      </c>
      <c r="G32" s="34" t="n">
        <f aca="false">YEAR(tTransactions[[#This Row],[Date]])</f>
        <v>2026</v>
      </c>
    </row>
    <row r="33" customFormat="false" ht="15" hidden="false" customHeight="false" outlineLevel="0" collapsed="false">
      <c r="A33" s="30" t="n">
        <v>46047</v>
      </c>
      <c r="B33" s="31" t="s">
        <v>84</v>
      </c>
      <c r="C33" s="32" t="n">
        <v>145.96</v>
      </c>
      <c r="D33" s="31" t="s">
        <v>98</v>
      </c>
      <c r="E33" s="33" t="str">
        <f aca="false">IFERROR(INDEX(tCategories[Type],MATCH(tTransactions[[#This Row],[Category]],tCategories[Category],0)),"Unknown category")</f>
        <v>Expense</v>
      </c>
      <c r="F33" s="34" t="n">
        <f aca="false">MONTH(tTransactions[[#This Row],[Date]])</f>
        <v>1</v>
      </c>
      <c r="G33" s="34" t="n">
        <f aca="false">YEAR(tTransactions[[#This Row],[Date]])</f>
        <v>2026</v>
      </c>
    </row>
    <row r="34" customFormat="false" ht="15" hidden="false" customHeight="false" outlineLevel="0" collapsed="false">
      <c r="A34" s="30" t="n">
        <v>46048</v>
      </c>
      <c r="B34" s="31" t="s">
        <v>77</v>
      </c>
      <c r="C34" s="32" t="n">
        <v>30.37</v>
      </c>
      <c r="D34" s="31" t="s">
        <v>95</v>
      </c>
      <c r="E34" s="33" t="str">
        <f aca="false">IFERROR(INDEX(tCategories[Type],MATCH(tTransactions[[#This Row],[Category]],tCategories[Category],0)),"Unknown category")</f>
        <v>Expense</v>
      </c>
      <c r="F34" s="34" t="n">
        <f aca="false">MONTH(tTransactions[[#This Row],[Date]])</f>
        <v>1</v>
      </c>
      <c r="G34" s="34" t="n">
        <f aca="false">YEAR(tTransactions[[#This Row],[Date]])</f>
        <v>2026</v>
      </c>
    </row>
    <row r="35" customFormat="false" ht="15" hidden="false" customHeight="false" outlineLevel="0" collapsed="false">
      <c r="A35" s="30" t="n">
        <v>46049</v>
      </c>
      <c r="B35" s="31" t="s">
        <v>77</v>
      </c>
      <c r="C35" s="32" t="n">
        <v>76.23</v>
      </c>
      <c r="D35" s="31" t="s">
        <v>81</v>
      </c>
      <c r="E35" s="33" t="str">
        <f aca="false">IFERROR(INDEX(tCategories[Type],MATCH(tTransactions[[#This Row],[Category]],tCategories[Category],0)),"Unknown category")</f>
        <v>Expense</v>
      </c>
      <c r="F35" s="34" t="n">
        <f aca="false">MONTH(tTransactions[[#This Row],[Date]])</f>
        <v>1</v>
      </c>
      <c r="G35" s="34" t="n">
        <f aca="false">YEAR(tTransactions[[#This Row],[Date]])</f>
        <v>2026</v>
      </c>
    </row>
    <row r="36" customFormat="false" ht="15" hidden="false" customHeight="false" outlineLevel="0" collapsed="false">
      <c r="A36" s="30" t="n">
        <v>46050</v>
      </c>
      <c r="B36" s="31" t="s">
        <v>77</v>
      </c>
      <c r="C36" s="32" t="n">
        <v>118.4</v>
      </c>
      <c r="D36" s="31" t="s">
        <v>81</v>
      </c>
      <c r="E36" s="33" t="str">
        <f aca="false">IFERROR(INDEX(tCategories[Type],MATCH(tTransactions[[#This Row],[Category]],tCategories[Category],0)),"Unknown category")</f>
        <v>Expense</v>
      </c>
      <c r="F36" s="34" t="n">
        <f aca="false">MONTH(tTransactions[[#This Row],[Date]])</f>
        <v>1</v>
      </c>
      <c r="G36" s="34" t="n">
        <f aca="false">YEAR(tTransactions[[#This Row],[Date]])</f>
        <v>2026</v>
      </c>
    </row>
    <row r="37" customFormat="false" ht="15" hidden="false" customHeight="false" outlineLevel="0" collapsed="false">
      <c r="A37" s="30" t="n">
        <v>46050</v>
      </c>
      <c r="B37" s="31" t="s">
        <v>99</v>
      </c>
      <c r="C37" s="32" t="n">
        <v>288.67</v>
      </c>
      <c r="D37" s="31" t="s">
        <v>99</v>
      </c>
      <c r="E37" s="33" t="str">
        <f aca="false">IFERROR(INDEX(tCategories[Type],MATCH(tTransactions[[#This Row],[Category]],tCategories[Category],0)),"Unknown category")</f>
        <v>Expense</v>
      </c>
      <c r="F37" s="34" t="n">
        <f aca="false">MONTH(tTransactions[[#This Row],[Date]])</f>
        <v>1</v>
      </c>
      <c r="G37" s="34" t="n">
        <f aca="false">YEAR(tTransactions[[#This Row],[Date]])</f>
        <v>2026</v>
      </c>
    </row>
    <row r="38" customFormat="false" ht="15" hidden="false" customHeight="false" outlineLevel="0" collapsed="false">
      <c r="A38" s="30" t="n">
        <v>46051</v>
      </c>
      <c r="B38" s="31" t="s">
        <v>77</v>
      </c>
      <c r="C38" s="32" t="n">
        <v>131.18</v>
      </c>
      <c r="D38" s="31" t="s">
        <v>78</v>
      </c>
      <c r="E38" s="33" t="str">
        <f aca="false">IFERROR(INDEX(tCategories[Type],MATCH(tTransactions[[#This Row],[Category]],tCategories[Category],0)),"Unknown category")</f>
        <v>Expense</v>
      </c>
      <c r="F38" s="34" t="n">
        <f aca="false">MONTH(tTransactions[[#This Row],[Date]])</f>
        <v>1</v>
      </c>
      <c r="G38" s="34" t="n">
        <f aca="false">YEAR(tTransactions[[#This Row],[Date]])</f>
        <v>2026</v>
      </c>
    </row>
    <row r="39" customFormat="false" ht="15" hidden="false" customHeight="false" outlineLevel="0" collapsed="false">
      <c r="A39" s="30" t="n">
        <v>46051</v>
      </c>
      <c r="B39" s="31" t="s">
        <v>87</v>
      </c>
      <c r="C39" s="32" t="n">
        <v>63.93</v>
      </c>
      <c r="D39" s="31" t="s">
        <v>100</v>
      </c>
      <c r="E39" s="33" t="str">
        <f aca="false">IFERROR(INDEX(tCategories[Type],MATCH(tTransactions[[#This Row],[Category]],tCategories[Category],0)),"Unknown category")</f>
        <v>Expense</v>
      </c>
      <c r="F39" s="34" t="n">
        <f aca="false">MONTH(tTransactions[[#This Row],[Date]])</f>
        <v>1</v>
      </c>
      <c r="G39" s="34" t="n">
        <f aca="false">YEAR(tTransactions[[#This Row],[Date]])</f>
        <v>2026</v>
      </c>
    </row>
    <row r="40" customFormat="false" ht="15" hidden="false" customHeight="false" outlineLevel="0" collapsed="false">
      <c r="A40" s="30" t="n">
        <v>46053</v>
      </c>
      <c r="B40" s="31" t="s">
        <v>77</v>
      </c>
      <c r="C40" s="32" t="n">
        <v>90.26</v>
      </c>
      <c r="D40" s="31" t="s">
        <v>78</v>
      </c>
      <c r="E40" s="33" t="str">
        <f aca="false">IFERROR(INDEX(tCategories[Type],MATCH(tTransactions[[#This Row],[Category]],tCategories[Category],0)),"Unknown category")</f>
        <v>Expense</v>
      </c>
      <c r="F40" s="34" t="n">
        <f aca="false">MONTH(tTransactions[[#This Row],[Date]])</f>
        <v>1</v>
      </c>
      <c r="G40" s="34" t="n">
        <f aca="false">YEAR(tTransactions[[#This Row],[Date]])</f>
        <v>2026</v>
      </c>
    </row>
    <row r="41" customFormat="false" ht="15" hidden="false" customHeight="false" outlineLevel="0" collapsed="false">
      <c r="A41" s="30" t="n">
        <v>46054</v>
      </c>
      <c r="B41" s="31" t="s">
        <v>75</v>
      </c>
      <c r="C41" s="32" t="n">
        <v>2200</v>
      </c>
      <c r="D41" s="31" t="s">
        <v>76</v>
      </c>
      <c r="E41" s="33" t="str">
        <f aca="false">IFERROR(INDEX(tCategories[Type],MATCH(tTransactions[[#This Row],[Category]],tCategories[Category],0)),"Unknown category")</f>
        <v>Expense</v>
      </c>
      <c r="F41" s="34" t="n">
        <f aca="false">MONTH(tTransactions[[#This Row],[Date]])</f>
        <v>2</v>
      </c>
      <c r="G41" s="34" t="n">
        <f aca="false">YEAR(tTransactions[[#This Row],[Date]])</f>
        <v>2026</v>
      </c>
    </row>
    <row r="42" customFormat="false" ht="15" hidden="false" customHeight="false" outlineLevel="0" collapsed="false">
      <c r="A42" s="30" t="n">
        <v>46054</v>
      </c>
      <c r="B42" s="31" t="s">
        <v>77</v>
      </c>
      <c r="C42" s="32" t="n">
        <v>106.35</v>
      </c>
      <c r="D42" s="31" t="s">
        <v>78</v>
      </c>
      <c r="E42" s="33" t="str">
        <f aca="false">IFERROR(INDEX(tCategories[Type],MATCH(tTransactions[[#This Row],[Category]],tCategories[Category],0)),"Unknown category")</f>
        <v>Expense</v>
      </c>
      <c r="F42" s="34" t="n">
        <f aca="false">MONTH(tTransactions[[#This Row],[Date]])</f>
        <v>2</v>
      </c>
      <c r="G42" s="34" t="n">
        <f aca="false">YEAR(tTransactions[[#This Row],[Date]])</f>
        <v>2026</v>
      </c>
    </row>
    <row r="43" customFormat="false" ht="15" hidden="false" customHeight="false" outlineLevel="0" collapsed="false">
      <c r="A43" s="30" t="n">
        <v>46056</v>
      </c>
      <c r="B43" s="31" t="s">
        <v>77</v>
      </c>
      <c r="C43" s="32" t="n">
        <v>99.59</v>
      </c>
      <c r="D43" s="31"/>
      <c r="E43" s="33" t="str">
        <f aca="false">IFERROR(INDEX(tCategories[Type],MATCH(tTransactions[[#This Row],[Category]],tCategories[Category],0)),"Unknown category")</f>
        <v>Expense</v>
      </c>
      <c r="F43" s="34" t="n">
        <f aca="false">MONTH(tTransactions[[#This Row],[Date]])</f>
        <v>2</v>
      </c>
      <c r="G43" s="34" t="n">
        <f aca="false">YEAR(tTransactions[[#This Row],[Date]])</f>
        <v>2026</v>
      </c>
    </row>
    <row r="44" customFormat="false" ht="15" hidden="false" customHeight="false" outlineLevel="0" collapsed="false">
      <c r="A44" s="30" t="n">
        <v>46056</v>
      </c>
      <c r="B44" s="31" t="s">
        <v>87</v>
      </c>
      <c r="C44" s="32" t="n">
        <v>234.22</v>
      </c>
      <c r="D44" s="31" t="s">
        <v>101</v>
      </c>
      <c r="E44" s="33" t="str">
        <f aca="false">IFERROR(INDEX(tCategories[Type],MATCH(tTransactions[[#This Row],[Category]],tCategories[Category],0)),"Unknown category")</f>
        <v>Expense</v>
      </c>
      <c r="F44" s="34" t="n">
        <f aca="false">MONTH(tTransactions[[#This Row],[Date]])</f>
        <v>2</v>
      </c>
      <c r="G44" s="34" t="n">
        <f aca="false">YEAR(tTransactions[[#This Row],[Date]])</f>
        <v>2026</v>
      </c>
    </row>
    <row r="45" customFormat="false" ht="15" hidden="false" customHeight="false" outlineLevel="0" collapsed="false">
      <c r="A45" s="30" t="n">
        <v>46056</v>
      </c>
      <c r="B45" s="31" t="s">
        <v>84</v>
      </c>
      <c r="C45" s="32" t="n">
        <v>47.22</v>
      </c>
      <c r="D45" s="31" t="s">
        <v>86</v>
      </c>
      <c r="E45" s="33" t="str">
        <f aca="false">IFERROR(INDEX(tCategories[Type],MATCH(tTransactions[[#This Row],[Category]],tCategories[Category],0)),"Unknown category")</f>
        <v>Expense</v>
      </c>
      <c r="F45" s="34" t="n">
        <f aca="false">MONTH(tTransactions[[#This Row],[Date]])</f>
        <v>2</v>
      </c>
      <c r="G45" s="34" t="n">
        <f aca="false">YEAR(tTransactions[[#This Row],[Date]])</f>
        <v>2026</v>
      </c>
    </row>
    <row r="46" customFormat="false" ht="15" hidden="false" customHeight="false" outlineLevel="0" collapsed="false">
      <c r="A46" s="30" t="n">
        <v>46057</v>
      </c>
      <c r="B46" s="31" t="s">
        <v>77</v>
      </c>
      <c r="C46" s="32" t="n">
        <v>39.89</v>
      </c>
      <c r="D46" s="31" t="s">
        <v>78</v>
      </c>
      <c r="E46" s="33" t="str">
        <f aca="false">IFERROR(INDEX(tCategories[Type],MATCH(tTransactions[[#This Row],[Category]],tCategories[Category],0)),"Unknown category")</f>
        <v>Expense</v>
      </c>
      <c r="F46" s="34" t="n">
        <f aca="false">MONTH(tTransactions[[#This Row],[Date]])</f>
        <v>2</v>
      </c>
      <c r="G46" s="34" t="n">
        <f aca="false">YEAR(tTransactions[[#This Row],[Date]])</f>
        <v>2026</v>
      </c>
    </row>
    <row r="47" customFormat="false" ht="15" hidden="false" customHeight="false" outlineLevel="0" collapsed="false">
      <c r="A47" s="30" t="n">
        <v>46057</v>
      </c>
      <c r="B47" s="31" t="s">
        <v>82</v>
      </c>
      <c r="C47" s="32" t="n">
        <v>186.02</v>
      </c>
      <c r="D47" s="31" t="s">
        <v>83</v>
      </c>
      <c r="E47" s="33" t="str">
        <f aca="false">IFERROR(INDEX(tCategories[Type],MATCH(tTransactions[[#This Row],[Category]],tCategories[Category],0)),"Unknown category")</f>
        <v>Expense</v>
      </c>
      <c r="F47" s="34" t="n">
        <f aca="false">MONTH(tTransactions[[#This Row],[Date]])</f>
        <v>2</v>
      </c>
      <c r="G47" s="34" t="n">
        <f aca="false">YEAR(tTransactions[[#This Row],[Date]])</f>
        <v>2026</v>
      </c>
    </row>
    <row r="48" customFormat="false" ht="15" hidden="false" customHeight="false" outlineLevel="0" collapsed="false">
      <c r="A48" s="30" t="n">
        <v>46059</v>
      </c>
      <c r="B48" s="31" t="s">
        <v>77</v>
      </c>
      <c r="C48" s="32" t="n">
        <v>44.95</v>
      </c>
      <c r="D48" s="31" t="s">
        <v>78</v>
      </c>
      <c r="E48" s="33" t="str">
        <f aca="false">IFERROR(INDEX(tCategories[Type],MATCH(tTransactions[[#This Row],[Category]],tCategories[Category],0)),"Unknown category")</f>
        <v>Expense</v>
      </c>
      <c r="F48" s="34" t="n">
        <f aca="false">MONTH(tTransactions[[#This Row],[Date]])</f>
        <v>2</v>
      </c>
      <c r="G48" s="34" t="n">
        <f aca="false">YEAR(tTransactions[[#This Row],[Date]])</f>
        <v>2026</v>
      </c>
    </row>
    <row r="49" customFormat="false" ht="15" hidden="false" customHeight="false" outlineLevel="0" collapsed="false">
      <c r="A49" s="30" t="n">
        <v>46061</v>
      </c>
      <c r="B49" s="31" t="s">
        <v>77</v>
      </c>
      <c r="C49" s="32" t="n">
        <v>86.52</v>
      </c>
      <c r="D49" s="31" t="s">
        <v>81</v>
      </c>
      <c r="E49" s="33" t="str">
        <f aca="false">IFERROR(INDEX(tCategories[Type],MATCH(tTransactions[[#This Row],[Category]],tCategories[Category],0)),"Unknown category")</f>
        <v>Expense</v>
      </c>
      <c r="F49" s="34" t="n">
        <f aca="false">MONTH(tTransactions[[#This Row],[Date]])</f>
        <v>2</v>
      </c>
      <c r="G49" s="34" t="n">
        <f aca="false">YEAR(tTransactions[[#This Row],[Date]])</f>
        <v>2026</v>
      </c>
    </row>
    <row r="50" customFormat="false" ht="15" hidden="false" customHeight="false" outlineLevel="0" collapsed="false">
      <c r="A50" s="30" t="n">
        <v>46062</v>
      </c>
      <c r="B50" s="31" t="s">
        <v>77</v>
      </c>
      <c r="C50" s="32" t="n">
        <v>32.75</v>
      </c>
      <c r="D50" s="31" t="s">
        <v>81</v>
      </c>
      <c r="E50" s="33" t="str">
        <f aca="false">IFERROR(INDEX(tCategories[Type],MATCH(tTransactions[[#This Row],[Category]],tCategories[Category],0)),"Unknown category")</f>
        <v>Expense</v>
      </c>
      <c r="F50" s="34" t="n">
        <f aca="false">MONTH(tTransactions[[#This Row],[Date]])</f>
        <v>2</v>
      </c>
      <c r="G50" s="34" t="n">
        <f aca="false">YEAR(tTransactions[[#This Row],[Date]])</f>
        <v>2026</v>
      </c>
    </row>
    <row r="51" customFormat="false" ht="15" hidden="false" customHeight="false" outlineLevel="0" collapsed="false">
      <c r="A51" s="30" t="n">
        <v>46063</v>
      </c>
      <c r="B51" s="31" t="s">
        <v>89</v>
      </c>
      <c r="C51" s="32" t="n">
        <v>7400</v>
      </c>
      <c r="D51" s="31" t="s">
        <v>90</v>
      </c>
      <c r="E51" s="33" t="str">
        <f aca="false">IFERROR(INDEX(tCategories[Type],MATCH(tTransactions[[#This Row],[Category]],tCategories[Category],0)),"Unknown category")</f>
        <v>Income</v>
      </c>
      <c r="F51" s="34" t="n">
        <f aca="false">MONTH(tTransactions[[#This Row],[Date]])</f>
        <v>2</v>
      </c>
      <c r="G51" s="34" t="n">
        <f aca="false">YEAR(tTransactions[[#This Row],[Date]])</f>
        <v>2026</v>
      </c>
    </row>
    <row r="52" customFormat="false" ht="15" hidden="false" customHeight="false" outlineLevel="0" collapsed="false">
      <c r="A52" s="30" t="n">
        <v>46063</v>
      </c>
      <c r="B52" s="31" t="s">
        <v>77</v>
      </c>
      <c r="C52" s="32" t="n">
        <v>54.24</v>
      </c>
      <c r="D52" s="31"/>
      <c r="E52" s="33" t="str">
        <f aca="false">IFERROR(INDEX(tCategories[Type],MATCH(tTransactions[[#This Row],[Category]],tCategories[Category],0)),"Unknown category")</f>
        <v>Expense</v>
      </c>
      <c r="F52" s="34" t="n">
        <f aca="false">MONTH(tTransactions[[#This Row],[Date]])</f>
        <v>2</v>
      </c>
      <c r="G52" s="34" t="n">
        <f aca="false">YEAR(tTransactions[[#This Row],[Date]])</f>
        <v>2026</v>
      </c>
    </row>
    <row r="53" customFormat="false" ht="15" hidden="false" customHeight="false" outlineLevel="0" collapsed="false">
      <c r="A53" s="30" t="n">
        <v>46064</v>
      </c>
      <c r="B53" s="31" t="s">
        <v>62</v>
      </c>
      <c r="C53" s="32" t="n">
        <v>1500</v>
      </c>
      <c r="D53" s="31" t="s">
        <v>91</v>
      </c>
      <c r="E53" s="33" t="str">
        <f aca="false">IFERROR(INDEX(tCategories[Type],MATCH(tTransactions[[#This Row],[Category]],tCategories[Category],0)),"Unknown category")</f>
        <v>Investment</v>
      </c>
      <c r="F53" s="34" t="n">
        <f aca="false">MONTH(tTransactions[[#This Row],[Date]])</f>
        <v>2</v>
      </c>
      <c r="G53" s="34" t="n">
        <f aca="false">YEAR(tTransactions[[#This Row],[Date]])</f>
        <v>2026</v>
      </c>
    </row>
    <row r="54" customFormat="false" ht="15" hidden="false" customHeight="false" outlineLevel="0" collapsed="false">
      <c r="A54" s="30" t="n">
        <v>46064</v>
      </c>
      <c r="B54" s="31" t="s">
        <v>77</v>
      </c>
      <c r="C54" s="32" t="n">
        <v>134.97</v>
      </c>
      <c r="D54" s="31"/>
      <c r="E54" s="33" t="str">
        <f aca="false">IFERROR(INDEX(tCategories[Type],MATCH(tTransactions[[#This Row],[Category]],tCategories[Category],0)),"Unknown category")</f>
        <v>Expense</v>
      </c>
      <c r="F54" s="34" t="n">
        <f aca="false">MONTH(tTransactions[[#This Row],[Date]])</f>
        <v>2</v>
      </c>
      <c r="G54" s="34" t="n">
        <f aca="false">YEAR(tTransactions[[#This Row],[Date]])</f>
        <v>2026</v>
      </c>
    </row>
    <row r="55" customFormat="false" ht="15" hidden="false" customHeight="false" outlineLevel="0" collapsed="false">
      <c r="A55" s="30" t="n">
        <v>46064</v>
      </c>
      <c r="B55" s="31" t="s">
        <v>82</v>
      </c>
      <c r="C55" s="32" t="n">
        <v>223.69</v>
      </c>
      <c r="D55" s="31" t="s">
        <v>83</v>
      </c>
      <c r="E55" s="33" t="str">
        <f aca="false">IFERROR(INDEX(tCategories[Type],MATCH(tTransactions[[#This Row],[Category]],tCategories[Category],0)),"Unknown category")</f>
        <v>Expense</v>
      </c>
      <c r="F55" s="34" t="n">
        <f aca="false">MONTH(tTransactions[[#This Row],[Date]])</f>
        <v>2</v>
      </c>
      <c r="G55" s="34" t="n">
        <f aca="false">YEAR(tTransactions[[#This Row],[Date]])</f>
        <v>2026</v>
      </c>
    </row>
    <row r="56" customFormat="false" ht="15" hidden="false" customHeight="false" outlineLevel="0" collapsed="false">
      <c r="A56" s="30" t="n">
        <v>46065</v>
      </c>
      <c r="B56" s="31" t="s">
        <v>92</v>
      </c>
      <c r="C56" s="32" t="n">
        <v>900</v>
      </c>
      <c r="D56" s="31" t="s">
        <v>93</v>
      </c>
      <c r="E56" s="33" t="str">
        <f aca="false">IFERROR(INDEX(tCategories[Type],MATCH(tTransactions[[#This Row],[Category]],tCategories[Category],0)),"Unknown category")</f>
        <v>Loan payment</v>
      </c>
      <c r="F56" s="34" t="n">
        <f aca="false">MONTH(tTransactions[[#This Row],[Date]])</f>
        <v>2</v>
      </c>
      <c r="G56" s="34" t="n">
        <f aca="false">YEAR(tTransactions[[#This Row],[Date]])</f>
        <v>2026</v>
      </c>
    </row>
    <row r="57" customFormat="false" ht="15" hidden="false" customHeight="false" outlineLevel="0" collapsed="false">
      <c r="A57" s="30" t="n">
        <v>46065</v>
      </c>
      <c r="B57" s="31" t="s">
        <v>77</v>
      </c>
      <c r="C57" s="32" t="n">
        <v>42.91</v>
      </c>
      <c r="D57" s="31" t="s">
        <v>81</v>
      </c>
      <c r="E57" s="33" t="str">
        <f aca="false">IFERROR(INDEX(tCategories[Type],MATCH(tTransactions[[#This Row],[Category]],tCategories[Category],0)),"Unknown category")</f>
        <v>Expense</v>
      </c>
      <c r="F57" s="34" t="n">
        <f aca="false">MONTH(tTransactions[[#This Row],[Date]])</f>
        <v>2</v>
      </c>
      <c r="G57" s="34" t="n">
        <f aca="false">YEAR(tTransactions[[#This Row],[Date]])</f>
        <v>2026</v>
      </c>
    </row>
    <row r="58" customFormat="false" ht="15" hidden="false" customHeight="false" outlineLevel="0" collapsed="false">
      <c r="A58" s="30" t="n">
        <v>46065</v>
      </c>
      <c r="B58" s="31" t="s">
        <v>87</v>
      </c>
      <c r="C58" s="32" t="n">
        <v>76.99</v>
      </c>
      <c r="D58" s="31" t="s">
        <v>101</v>
      </c>
      <c r="E58" s="33" t="str">
        <f aca="false">IFERROR(INDEX(tCategories[Type],MATCH(tTransactions[[#This Row],[Category]],tCategories[Category],0)),"Unknown category")</f>
        <v>Expense</v>
      </c>
      <c r="F58" s="34" t="n">
        <f aca="false">MONTH(tTransactions[[#This Row],[Date]])</f>
        <v>2</v>
      </c>
      <c r="G58" s="34" t="n">
        <f aca="false">YEAR(tTransactions[[#This Row],[Date]])</f>
        <v>2026</v>
      </c>
    </row>
    <row r="59" customFormat="false" ht="15" hidden="false" customHeight="false" outlineLevel="0" collapsed="false">
      <c r="A59" s="30" t="n">
        <v>46066</v>
      </c>
      <c r="B59" s="31" t="s">
        <v>77</v>
      </c>
      <c r="C59" s="32" t="n">
        <v>86.06</v>
      </c>
      <c r="D59" s="31" t="s">
        <v>81</v>
      </c>
      <c r="E59" s="33" t="str">
        <f aca="false">IFERROR(INDEX(tCategories[Type],MATCH(tTransactions[[#This Row],[Category]],tCategories[Category],0)),"Unknown category")</f>
        <v>Expense</v>
      </c>
      <c r="F59" s="34" t="n">
        <f aca="false">MONTH(tTransactions[[#This Row],[Date]])</f>
        <v>2</v>
      </c>
      <c r="G59" s="34" t="n">
        <f aca="false">YEAR(tTransactions[[#This Row],[Date]])</f>
        <v>2026</v>
      </c>
    </row>
    <row r="60" customFormat="false" ht="15" hidden="false" customHeight="false" outlineLevel="0" collapsed="false">
      <c r="A60" s="30" t="n">
        <v>46067</v>
      </c>
      <c r="B60" s="31" t="s">
        <v>77</v>
      </c>
      <c r="C60" s="32" t="n">
        <v>148.27</v>
      </c>
      <c r="D60" s="31" t="s">
        <v>78</v>
      </c>
      <c r="E60" s="33" t="str">
        <f aca="false">IFERROR(INDEX(tCategories[Type],MATCH(tTransactions[[#This Row],[Category]],tCategories[Category],0)),"Unknown category")</f>
        <v>Expense</v>
      </c>
      <c r="F60" s="34" t="n">
        <f aca="false">MONTH(tTransactions[[#This Row],[Date]])</f>
        <v>2</v>
      </c>
      <c r="G60" s="34" t="n">
        <f aca="false">YEAR(tTransactions[[#This Row],[Date]])</f>
        <v>2026</v>
      </c>
    </row>
    <row r="61" customFormat="false" ht="15" hidden="false" customHeight="false" outlineLevel="0" collapsed="false">
      <c r="A61" s="30" t="n">
        <v>46067</v>
      </c>
      <c r="B61" s="31" t="s">
        <v>102</v>
      </c>
      <c r="C61" s="32" t="n">
        <v>500</v>
      </c>
      <c r="D61" s="31" t="s">
        <v>103</v>
      </c>
      <c r="E61" s="33" t="str">
        <f aca="false">IFERROR(INDEX(tCategories[Type],MATCH(tTransactions[[#This Row],[Category]],tCategories[Category],0)),"Unknown category")</f>
        <v>Private loan out</v>
      </c>
      <c r="F61" s="34" t="n">
        <f aca="false">MONTH(tTransactions[[#This Row],[Date]])</f>
        <v>2</v>
      </c>
      <c r="G61" s="34" t="n">
        <f aca="false">YEAR(tTransactions[[#This Row],[Date]])</f>
        <v>2026</v>
      </c>
    </row>
    <row r="62" customFormat="false" ht="15" hidden="false" customHeight="false" outlineLevel="0" collapsed="false">
      <c r="A62" s="30" t="n">
        <v>46068</v>
      </c>
      <c r="B62" s="31" t="s">
        <v>75</v>
      </c>
      <c r="C62" s="32" t="n">
        <v>383</v>
      </c>
      <c r="D62" s="31" t="s">
        <v>94</v>
      </c>
      <c r="E62" s="33" t="str">
        <f aca="false">IFERROR(INDEX(tCategories[Type],MATCH(tTransactions[[#This Row],[Category]],tCategories[Category],0)),"Unknown category")</f>
        <v>Expense</v>
      </c>
      <c r="F62" s="34" t="n">
        <f aca="false">MONTH(tTransactions[[#This Row],[Date]])</f>
        <v>2</v>
      </c>
      <c r="G62" s="34" t="n">
        <f aca="false">YEAR(tTransactions[[#This Row],[Date]])</f>
        <v>2026</v>
      </c>
    </row>
    <row r="63" customFormat="false" ht="15" hidden="false" customHeight="false" outlineLevel="0" collapsed="false">
      <c r="A63" s="30" t="n">
        <v>46069</v>
      </c>
      <c r="B63" s="31" t="s">
        <v>77</v>
      </c>
      <c r="C63" s="32" t="n">
        <v>76.42</v>
      </c>
      <c r="D63" s="31" t="s">
        <v>78</v>
      </c>
      <c r="E63" s="33" t="str">
        <f aca="false">IFERROR(INDEX(tCategories[Type],MATCH(tTransactions[[#This Row],[Category]],tCategories[Category],0)),"Unknown category")</f>
        <v>Expense</v>
      </c>
      <c r="F63" s="34" t="n">
        <f aca="false">MONTH(tTransactions[[#This Row],[Date]])</f>
        <v>2</v>
      </c>
      <c r="G63" s="34" t="n">
        <f aca="false">YEAR(tTransactions[[#This Row],[Date]])</f>
        <v>2026</v>
      </c>
    </row>
    <row r="64" customFormat="false" ht="15" hidden="false" customHeight="false" outlineLevel="0" collapsed="false">
      <c r="A64" s="30" t="n">
        <v>46070</v>
      </c>
      <c r="B64" s="31" t="s">
        <v>77</v>
      </c>
      <c r="C64" s="32" t="n">
        <v>43.03</v>
      </c>
      <c r="D64" s="31" t="s">
        <v>95</v>
      </c>
      <c r="E64" s="33" t="str">
        <f aca="false">IFERROR(INDEX(tCategories[Type],MATCH(tTransactions[[#This Row],[Category]],tCategories[Category],0)),"Unknown category")</f>
        <v>Expense</v>
      </c>
      <c r="F64" s="34" t="n">
        <f aca="false">MONTH(tTransactions[[#This Row],[Date]])</f>
        <v>2</v>
      </c>
      <c r="G64" s="34" t="n">
        <f aca="false">YEAR(tTransactions[[#This Row],[Date]])</f>
        <v>2026</v>
      </c>
    </row>
    <row r="65" customFormat="false" ht="15" hidden="false" customHeight="false" outlineLevel="0" collapsed="false">
      <c r="A65" s="30" t="n">
        <v>46071</v>
      </c>
      <c r="B65" s="31" t="s">
        <v>77</v>
      </c>
      <c r="C65" s="32" t="n">
        <v>156.18</v>
      </c>
      <c r="D65" s="31" t="s">
        <v>81</v>
      </c>
      <c r="E65" s="33" t="str">
        <f aca="false">IFERROR(INDEX(tCategories[Type],MATCH(tTransactions[[#This Row],[Category]],tCategories[Category],0)),"Unknown category")</f>
        <v>Expense</v>
      </c>
      <c r="F65" s="34" t="n">
        <f aca="false">MONTH(tTransactions[[#This Row],[Date]])</f>
        <v>2</v>
      </c>
      <c r="G65" s="34" t="n">
        <f aca="false">YEAR(tTransactions[[#This Row],[Date]])</f>
        <v>2026</v>
      </c>
    </row>
    <row r="66" customFormat="false" ht="15" hidden="false" customHeight="false" outlineLevel="0" collapsed="false">
      <c r="A66" s="30" t="n">
        <v>46071</v>
      </c>
      <c r="B66" s="31" t="s">
        <v>82</v>
      </c>
      <c r="C66" s="32" t="n">
        <v>238.96</v>
      </c>
      <c r="D66" s="31" t="s">
        <v>83</v>
      </c>
      <c r="E66" s="33" t="str">
        <f aca="false">IFERROR(INDEX(tCategories[Type],MATCH(tTransactions[[#This Row],[Category]],tCategories[Category],0)),"Unknown category")</f>
        <v>Expense</v>
      </c>
      <c r="F66" s="34" t="n">
        <f aca="false">MONTH(tTransactions[[#This Row],[Date]])</f>
        <v>2</v>
      </c>
      <c r="G66" s="34" t="n">
        <f aca="false">YEAR(tTransactions[[#This Row],[Date]])</f>
        <v>2026</v>
      </c>
    </row>
    <row r="67" customFormat="false" ht="15" hidden="false" customHeight="false" outlineLevel="0" collapsed="false">
      <c r="A67" s="30" t="n">
        <v>46072</v>
      </c>
      <c r="B67" s="31" t="s">
        <v>77</v>
      </c>
      <c r="C67" s="32" t="n">
        <v>144.51</v>
      </c>
      <c r="D67" s="31" t="s">
        <v>95</v>
      </c>
      <c r="E67" s="33" t="str">
        <f aca="false">IFERROR(INDEX(tCategories[Type],MATCH(tTransactions[[#This Row],[Category]],tCategories[Category],0)),"Unknown category")</f>
        <v>Expense</v>
      </c>
      <c r="F67" s="34" t="n">
        <f aca="false">MONTH(tTransactions[[#This Row],[Date]])</f>
        <v>2</v>
      </c>
      <c r="G67" s="34" t="n">
        <f aca="false">YEAR(tTransactions[[#This Row],[Date]])</f>
        <v>2026</v>
      </c>
    </row>
    <row r="68" customFormat="false" ht="15" hidden="false" customHeight="false" outlineLevel="0" collapsed="false">
      <c r="A68" s="30" t="n">
        <v>46072</v>
      </c>
      <c r="B68" s="31" t="s">
        <v>84</v>
      </c>
      <c r="C68" s="32" t="n">
        <v>32.36</v>
      </c>
      <c r="D68" s="31" t="s">
        <v>86</v>
      </c>
      <c r="E68" s="33" t="str">
        <f aca="false">IFERROR(INDEX(tCategories[Type],MATCH(tTransactions[[#This Row],[Category]],tCategories[Category],0)),"Unknown category")</f>
        <v>Expense</v>
      </c>
      <c r="F68" s="34" t="n">
        <f aca="false">MONTH(tTransactions[[#This Row],[Date]])</f>
        <v>2</v>
      </c>
      <c r="G68" s="34" t="n">
        <f aca="false">YEAR(tTransactions[[#This Row],[Date]])</f>
        <v>2026</v>
      </c>
    </row>
    <row r="69" customFormat="false" ht="15" hidden="false" customHeight="false" outlineLevel="0" collapsed="false">
      <c r="A69" s="30" t="n">
        <v>46073</v>
      </c>
      <c r="B69" s="31" t="s">
        <v>99</v>
      </c>
      <c r="C69" s="32" t="n">
        <v>308.55</v>
      </c>
      <c r="D69" s="31" t="s">
        <v>99</v>
      </c>
      <c r="E69" s="33" t="str">
        <f aca="false">IFERROR(INDEX(tCategories[Type],MATCH(tTransactions[[#This Row],[Category]],tCategories[Category],0)),"Unknown category")</f>
        <v>Expense</v>
      </c>
      <c r="F69" s="34" t="n">
        <f aca="false">MONTH(tTransactions[[#This Row],[Date]])</f>
        <v>2</v>
      </c>
      <c r="G69" s="34" t="n">
        <f aca="false">YEAR(tTransactions[[#This Row],[Date]])</f>
        <v>2026</v>
      </c>
    </row>
    <row r="70" customFormat="false" ht="15" hidden="false" customHeight="false" outlineLevel="0" collapsed="false">
      <c r="A70" s="30" t="n">
        <v>46073</v>
      </c>
      <c r="B70" s="31" t="s">
        <v>96</v>
      </c>
      <c r="C70" s="32" t="n">
        <v>150</v>
      </c>
      <c r="D70" s="31" t="s">
        <v>97</v>
      </c>
      <c r="E70" s="33" t="str">
        <f aca="false">IFERROR(INDEX(tCategories[Type],MATCH(tTransactions[[#This Row],[Category]],tCategories[Category],0)),"Unknown category")</f>
        <v>Expense</v>
      </c>
      <c r="F70" s="34" t="n">
        <f aca="false">MONTH(tTransactions[[#This Row],[Date]])</f>
        <v>2</v>
      </c>
      <c r="G70" s="34" t="n">
        <f aca="false">YEAR(tTransactions[[#This Row],[Date]])</f>
        <v>2026</v>
      </c>
    </row>
    <row r="71" customFormat="false" ht="15" hidden="false" customHeight="false" outlineLevel="0" collapsed="false">
      <c r="A71" s="30" t="n">
        <v>46076</v>
      </c>
      <c r="B71" s="31" t="s">
        <v>77</v>
      </c>
      <c r="C71" s="32" t="n">
        <v>22.98</v>
      </c>
      <c r="D71" s="31" t="s">
        <v>81</v>
      </c>
      <c r="E71" s="33" t="str">
        <f aca="false">IFERROR(INDEX(tCategories[Type],MATCH(tTransactions[[#This Row],[Category]],tCategories[Category],0)),"Unknown category")</f>
        <v>Expense</v>
      </c>
      <c r="F71" s="34" t="n">
        <f aca="false">MONTH(tTransactions[[#This Row],[Date]])</f>
        <v>2</v>
      </c>
      <c r="G71" s="34" t="n">
        <f aca="false">YEAR(tTransactions[[#This Row],[Date]])</f>
        <v>2026</v>
      </c>
    </row>
    <row r="72" customFormat="false" ht="15" hidden="false" customHeight="false" outlineLevel="0" collapsed="false">
      <c r="A72" s="30" t="n">
        <v>46077</v>
      </c>
      <c r="B72" s="31" t="s">
        <v>77</v>
      </c>
      <c r="C72" s="32" t="n">
        <v>68.76</v>
      </c>
      <c r="D72" s="31" t="s">
        <v>95</v>
      </c>
      <c r="E72" s="33" t="str">
        <f aca="false">IFERROR(INDEX(tCategories[Type],MATCH(tTransactions[[#This Row],[Category]],tCategories[Category],0)),"Unknown category")</f>
        <v>Expense</v>
      </c>
      <c r="F72" s="34" t="n">
        <f aca="false">MONTH(tTransactions[[#This Row],[Date]])</f>
        <v>2</v>
      </c>
      <c r="G72" s="34" t="n">
        <f aca="false">YEAR(tTransactions[[#This Row],[Date]])</f>
        <v>2026</v>
      </c>
    </row>
    <row r="73" customFormat="false" ht="15" hidden="false" customHeight="false" outlineLevel="0" collapsed="false">
      <c r="A73" s="30" t="n">
        <v>46077</v>
      </c>
      <c r="B73" s="31" t="s">
        <v>87</v>
      </c>
      <c r="C73" s="32" t="n">
        <v>200.74</v>
      </c>
      <c r="D73" s="31" t="s">
        <v>88</v>
      </c>
      <c r="E73" s="33" t="str">
        <f aca="false">IFERROR(INDEX(tCategories[Type],MATCH(tTransactions[[#This Row],[Category]],tCategories[Category],0)),"Unknown category")</f>
        <v>Expense</v>
      </c>
      <c r="F73" s="34" t="n">
        <f aca="false">MONTH(tTransactions[[#This Row],[Date]])</f>
        <v>2</v>
      </c>
      <c r="G73" s="34" t="n">
        <f aca="false">YEAR(tTransactions[[#This Row],[Date]])</f>
        <v>2026</v>
      </c>
    </row>
    <row r="74" customFormat="false" ht="15" hidden="false" customHeight="false" outlineLevel="0" collapsed="false">
      <c r="A74" s="30" t="n">
        <v>46078</v>
      </c>
      <c r="B74" s="31" t="s">
        <v>82</v>
      </c>
      <c r="C74" s="32" t="n">
        <v>252.02</v>
      </c>
      <c r="D74" s="31" t="s">
        <v>83</v>
      </c>
      <c r="E74" s="33" t="str">
        <f aca="false">IFERROR(INDEX(tCategories[Type],MATCH(tTransactions[[#This Row],[Category]],tCategories[Category],0)),"Unknown category")</f>
        <v>Expense</v>
      </c>
      <c r="F74" s="34" t="n">
        <f aca="false">MONTH(tTransactions[[#This Row],[Date]])</f>
        <v>2</v>
      </c>
      <c r="G74" s="34" t="n">
        <f aca="false">YEAR(tTransactions[[#This Row],[Date]])</f>
        <v>2026</v>
      </c>
    </row>
    <row r="75" customFormat="false" ht="15" hidden="false" customHeight="false" outlineLevel="0" collapsed="false">
      <c r="A75" s="30" t="n">
        <v>46079</v>
      </c>
      <c r="B75" s="31" t="s">
        <v>77</v>
      </c>
      <c r="C75" s="32" t="n">
        <v>108.34</v>
      </c>
      <c r="D75" s="31"/>
      <c r="E75" s="33" t="str">
        <f aca="false">IFERROR(INDEX(tCategories[Type],MATCH(tTransactions[[#This Row],[Category]],tCategories[Category],0)),"Unknown category")</f>
        <v>Expense</v>
      </c>
      <c r="F75" s="34" t="n">
        <f aca="false">MONTH(tTransactions[[#This Row],[Date]])</f>
        <v>2</v>
      </c>
      <c r="G75" s="34" t="n">
        <f aca="false">YEAR(tTransactions[[#This Row],[Date]])</f>
        <v>2026</v>
      </c>
    </row>
    <row r="76" customFormat="false" ht="15" hidden="false" customHeight="false" outlineLevel="0" collapsed="false">
      <c r="A76" s="30" t="n">
        <v>46079</v>
      </c>
      <c r="B76" s="31" t="s">
        <v>87</v>
      </c>
      <c r="C76" s="32" t="n">
        <v>66.05</v>
      </c>
      <c r="D76" s="31" t="s">
        <v>101</v>
      </c>
      <c r="E76" s="33" t="str">
        <f aca="false">IFERROR(INDEX(tCategories[Type],MATCH(tTransactions[[#This Row],[Category]],tCategories[Category],0)),"Unknown category")</f>
        <v>Expense</v>
      </c>
      <c r="F76" s="34" t="n">
        <f aca="false">MONTH(tTransactions[[#This Row],[Date]])</f>
        <v>2</v>
      </c>
      <c r="G76" s="34" t="n">
        <f aca="false">YEAR(tTransactions[[#This Row],[Date]])</f>
        <v>2026</v>
      </c>
    </row>
    <row r="77" customFormat="false" ht="15" hidden="false" customHeight="false" outlineLevel="0" collapsed="false">
      <c r="A77" s="30" t="n">
        <v>46080</v>
      </c>
      <c r="B77" s="31" t="s">
        <v>77</v>
      </c>
      <c r="C77" s="32" t="n">
        <v>62.17</v>
      </c>
      <c r="D77" s="31" t="s">
        <v>78</v>
      </c>
      <c r="E77" s="33" t="str">
        <f aca="false">IFERROR(INDEX(tCategories[Type],MATCH(tTransactions[[#This Row],[Category]],tCategories[Category],0)),"Unknown category")</f>
        <v>Expense</v>
      </c>
      <c r="F77" s="34" t="n">
        <f aca="false">MONTH(tTransactions[[#This Row],[Date]])</f>
        <v>2</v>
      </c>
      <c r="G77" s="34" t="n">
        <f aca="false">YEAR(tTransactions[[#This Row],[Date]])</f>
        <v>2026</v>
      </c>
    </row>
    <row r="78" customFormat="false" ht="15" hidden="false" customHeight="false" outlineLevel="0" collapsed="false">
      <c r="A78" s="30" t="n">
        <v>46082</v>
      </c>
      <c r="B78" s="31" t="s">
        <v>75</v>
      </c>
      <c r="C78" s="32" t="n">
        <v>2200</v>
      </c>
      <c r="D78" s="31" t="s">
        <v>76</v>
      </c>
      <c r="E78" s="33" t="str">
        <f aca="false">IFERROR(INDEX(tCategories[Type],MATCH(tTransactions[[#This Row],[Category]],tCategories[Category],0)),"Unknown category")</f>
        <v>Expense</v>
      </c>
      <c r="F78" s="34" t="n">
        <f aca="false">MONTH(tTransactions[[#This Row],[Date]])</f>
        <v>3</v>
      </c>
      <c r="G78" s="34" t="n">
        <f aca="false">YEAR(tTransactions[[#This Row],[Date]])</f>
        <v>2026</v>
      </c>
    </row>
    <row r="79" customFormat="false" ht="15" hidden="false" customHeight="false" outlineLevel="0" collapsed="false">
      <c r="A79" s="30" t="n">
        <v>46083</v>
      </c>
      <c r="B79" s="31" t="s">
        <v>77</v>
      </c>
      <c r="C79" s="32" t="n">
        <v>83.69</v>
      </c>
      <c r="D79" s="31" t="s">
        <v>81</v>
      </c>
      <c r="E79" s="33" t="str">
        <f aca="false">IFERROR(INDEX(tCategories[Type],MATCH(tTransactions[[#This Row],[Category]],tCategories[Category],0)),"Unknown category")</f>
        <v>Expense</v>
      </c>
      <c r="F79" s="34" t="n">
        <f aca="false">MONTH(tTransactions[[#This Row],[Date]])</f>
        <v>3</v>
      </c>
      <c r="G79" s="34" t="n">
        <f aca="false">YEAR(tTransactions[[#This Row],[Date]])</f>
        <v>2026</v>
      </c>
    </row>
    <row r="80" customFormat="false" ht="15" hidden="false" customHeight="false" outlineLevel="0" collapsed="false">
      <c r="A80" s="30" t="n">
        <v>46084</v>
      </c>
      <c r="B80" s="31" t="s">
        <v>77</v>
      </c>
      <c r="C80" s="32" t="n">
        <v>91.06</v>
      </c>
      <c r="D80" s="31" t="s">
        <v>95</v>
      </c>
      <c r="E80" s="33" t="str">
        <f aca="false">IFERROR(INDEX(tCategories[Type],MATCH(tTransactions[[#This Row],[Category]],tCategories[Category],0)),"Unknown category")</f>
        <v>Expense</v>
      </c>
      <c r="F80" s="34" t="n">
        <f aca="false">MONTH(tTransactions[[#This Row],[Date]])</f>
        <v>3</v>
      </c>
      <c r="G80" s="34" t="n">
        <f aca="false">YEAR(tTransactions[[#This Row],[Date]])</f>
        <v>2026</v>
      </c>
    </row>
    <row r="81" customFormat="false" ht="15" hidden="false" customHeight="false" outlineLevel="0" collapsed="false">
      <c r="A81" s="30" t="n">
        <v>46085</v>
      </c>
      <c r="B81" s="31" t="s">
        <v>82</v>
      </c>
      <c r="C81" s="32" t="n">
        <v>231.28</v>
      </c>
      <c r="D81" s="31" t="s">
        <v>83</v>
      </c>
      <c r="E81" s="33" t="str">
        <f aca="false">IFERROR(INDEX(tCategories[Type],MATCH(tTransactions[[#This Row],[Category]],tCategories[Category],0)),"Unknown category")</f>
        <v>Expense</v>
      </c>
      <c r="F81" s="34" t="n">
        <f aca="false">MONTH(tTransactions[[#This Row],[Date]])</f>
        <v>3</v>
      </c>
      <c r="G81" s="34" t="n">
        <f aca="false">YEAR(tTransactions[[#This Row],[Date]])</f>
        <v>2026</v>
      </c>
    </row>
    <row r="82" customFormat="false" ht="15" hidden="false" customHeight="false" outlineLevel="0" collapsed="false">
      <c r="A82" s="30" t="n">
        <v>46086</v>
      </c>
      <c r="B82" s="31" t="s">
        <v>77</v>
      </c>
      <c r="C82" s="32" t="n">
        <v>50.69</v>
      </c>
      <c r="D82" s="31" t="s">
        <v>81</v>
      </c>
      <c r="E82" s="33" t="str">
        <f aca="false">IFERROR(INDEX(tCategories[Type],MATCH(tTransactions[[#This Row],[Category]],tCategories[Category],0)),"Unknown category")</f>
        <v>Expense</v>
      </c>
      <c r="F82" s="34" t="n">
        <f aca="false">MONTH(tTransactions[[#This Row],[Date]])</f>
        <v>3</v>
      </c>
      <c r="G82" s="34" t="n">
        <f aca="false">YEAR(tTransactions[[#This Row],[Date]])</f>
        <v>2026</v>
      </c>
    </row>
    <row r="83" customFormat="false" ht="15" hidden="false" customHeight="false" outlineLevel="0" collapsed="false">
      <c r="A83" s="30" t="n">
        <v>46087</v>
      </c>
      <c r="B83" s="31" t="s">
        <v>77</v>
      </c>
      <c r="C83" s="32" t="n">
        <v>105.26</v>
      </c>
      <c r="D83" s="31"/>
      <c r="E83" s="33" t="str">
        <f aca="false">IFERROR(INDEX(tCategories[Type],MATCH(tTransactions[[#This Row],[Category]],tCategories[Category],0)),"Unknown category")</f>
        <v>Expense</v>
      </c>
      <c r="F83" s="34" t="n">
        <f aca="false">MONTH(tTransactions[[#This Row],[Date]])</f>
        <v>3</v>
      </c>
      <c r="G83" s="34" t="n">
        <f aca="false">YEAR(tTransactions[[#This Row],[Date]])</f>
        <v>2026</v>
      </c>
    </row>
    <row r="84" customFormat="false" ht="15" hidden="false" customHeight="false" outlineLevel="0" collapsed="false">
      <c r="A84" s="30" t="n">
        <v>46088</v>
      </c>
      <c r="B84" s="31" t="s">
        <v>77</v>
      </c>
      <c r="C84" s="32" t="n">
        <v>19.61</v>
      </c>
      <c r="D84" s="31" t="s">
        <v>95</v>
      </c>
      <c r="E84" s="33" t="str">
        <f aca="false">IFERROR(INDEX(tCategories[Type],MATCH(tTransactions[[#This Row],[Category]],tCategories[Category],0)),"Unknown category")</f>
        <v>Expense</v>
      </c>
      <c r="F84" s="34" t="n">
        <f aca="false">MONTH(tTransactions[[#This Row],[Date]])</f>
        <v>3</v>
      </c>
      <c r="G84" s="34" t="n">
        <f aca="false">YEAR(tTransactions[[#This Row],[Date]])</f>
        <v>2026</v>
      </c>
    </row>
    <row r="85" customFormat="false" ht="15" hidden="false" customHeight="false" outlineLevel="0" collapsed="false">
      <c r="A85" s="30" t="n">
        <v>46088</v>
      </c>
      <c r="B85" s="31" t="s">
        <v>84</v>
      </c>
      <c r="C85" s="32" t="n">
        <v>67.87</v>
      </c>
      <c r="D85" s="31" t="s">
        <v>104</v>
      </c>
      <c r="E85" s="33" t="str">
        <f aca="false">IFERROR(INDEX(tCategories[Type],MATCH(tTransactions[[#This Row],[Category]],tCategories[Category],0)),"Unknown category")</f>
        <v>Expense</v>
      </c>
      <c r="F85" s="34" t="n">
        <f aca="false">MONTH(tTransactions[[#This Row],[Date]])</f>
        <v>3</v>
      </c>
      <c r="G85" s="34" t="n">
        <f aca="false">YEAR(tTransactions[[#This Row],[Date]])</f>
        <v>2026</v>
      </c>
    </row>
    <row r="86" customFormat="false" ht="15" hidden="false" customHeight="false" outlineLevel="0" collapsed="false">
      <c r="A86" s="30" t="n">
        <v>46089</v>
      </c>
      <c r="B86" s="31" t="s">
        <v>77</v>
      </c>
      <c r="C86" s="32" t="n">
        <v>104.87</v>
      </c>
      <c r="D86" s="31" t="s">
        <v>78</v>
      </c>
      <c r="E86" s="33" t="str">
        <f aca="false">IFERROR(INDEX(tCategories[Type],MATCH(tTransactions[[#This Row],[Category]],tCategories[Category],0)),"Unknown category")</f>
        <v>Expense</v>
      </c>
      <c r="F86" s="34" t="n">
        <f aca="false">MONTH(tTransactions[[#This Row],[Date]])</f>
        <v>3</v>
      </c>
      <c r="G86" s="34" t="n">
        <f aca="false">YEAR(tTransactions[[#This Row],[Date]])</f>
        <v>2026</v>
      </c>
    </row>
    <row r="87" customFormat="false" ht="15" hidden="false" customHeight="false" outlineLevel="0" collapsed="false">
      <c r="A87" s="30" t="n">
        <v>46089</v>
      </c>
      <c r="B87" s="31" t="s">
        <v>87</v>
      </c>
      <c r="C87" s="32" t="n">
        <v>215.85</v>
      </c>
      <c r="D87" s="31" t="s">
        <v>105</v>
      </c>
      <c r="E87" s="33" t="str">
        <f aca="false">IFERROR(INDEX(tCategories[Type],MATCH(tTransactions[[#This Row],[Category]],tCategories[Category],0)),"Unknown category")</f>
        <v>Expense</v>
      </c>
      <c r="F87" s="34" t="n">
        <f aca="false">MONTH(tTransactions[[#This Row],[Date]])</f>
        <v>3</v>
      </c>
      <c r="G87" s="34" t="n">
        <f aca="false">YEAR(tTransactions[[#This Row],[Date]])</f>
        <v>2026</v>
      </c>
    </row>
    <row r="88" customFormat="false" ht="15" hidden="false" customHeight="false" outlineLevel="0" collapsed="false">
      <c r="A88" s="30" t="n">
        <v>46090</v>
      </c>
      <c r="B88" s="31" t="s">
        <v>84</v>
      </c>
      <c r="C88" s="32" t="n">
        <v>63.95</v>
      </c>
      <c r="D88" s="31" t="s">
        <v>86</v>
      </c>
      <c r="E88" s="33" t="str">
        <f aca="false">IFERROR(INDEX(tCategories[Type],MATCH(tTransactions[[#This Row],[Category]],tCategories[Category],0)),"Unknown category")</f>
        <v>Expense</v>
      </c>
      <c r="F88" s="34" t="n">
        <f aca="false">MONTH(tTransactions[[#This Row],[Date]])</f>
        <v>3</v>
      </c>
      <c r="G88" s="34" t="n">
        <f aca="false">YEAR(tTransactions[[#This Row],[Date]])</f>
        <v>2026</v>
      </c>
    </row>
    <row r="89" customFormat="false" ht="15" hidden="false" customHeight="false" outlineLevel="0" collapsed="false">
      <c r="A89" s="30" t="n">
        <v>46091</v>
      </c>
      <c r="B89" s="31" t="s">
        <v>89</v>
      </c>
      <c r="C89" s="32" t="n">
        <v>7650</v>
      </c>
      <c r="D89" s="31" t="s">
        <v>90</v>
      </c>
      <c r="E89" s="33" t="str">
        <f aca="false">IFERROR(INDEX(tCategories[Type],MATCH(tTransactions[[#This Row],[Category]],tCategories[Category],0)),"Unknown category")</f>
        <v>Income</v>
      </c>
      <c r="F89" s="34" t="n">
        <f aca="false">MONTH(tTransactions[[#This Row],[Date]])</f>
        <v>3</v>
      </c>
      <c r="G89" s="34" t="n">
        <f aca="false">YEAR(tTransactions[[#This Row],[Date]])</f>
        <v>2026</v>
      </c>
    </row>
    <row r="90" customFormat="false" ht="15" hidden="false" customHeight="false" outlineLevel="0" collapsed="false">
      <c r="A90" s="30" t="n">
        <v>46091</v>
      </c>
      <c r="B90" s="31" t="s">
        <v>77</v>
      </c>
      <c r="C90" s="32" t="n">
        <v>150.1</v>
      </c>
      <c r="D90" s="31"/>
      <c r="E90" s="33" t="str">
        <f aca="false">IFERROR(INDEX(tCategories[Type],MATCH(tTransactions[[#This Row],[Category]],tCategories[Category],0)),"Unknown category")</f>
        <v>Expense</v>
      </c>
      <c r="F90" s="34" t="n">
        <f aca="false">MONTH(tTransactions[[#This Row],[Date]])</f>
        <v>3</v>
      </c>
      <c r="G90" s="34" t="n">
        <f aca="false">YEAR(tTransactions[[#This Row],[Date]])</f>
        <v>2026</v>
      </c>
    </row>
    <row r="91" customFormat="false" ht="15" hidden="false" customHeight="false" outlineLevel="0" collapsed="false">
      <c r="A91" s="30" t="n">
        <v>46092</v>
      </c>
      <c r="B91" s="31" t="s">
        <v>62</v>
      </c>
      <c r="C91" s="32" t="n">
        <v>1500</v>
      </c>
      <c r="D91" s="31" t="s">
        <v>91</v>
      </c>
      <c r="E91" s="33" t="str">
        <f aca="false">IFERROR(INDEX(tCategories[Type],MATCH(tTransactions[[#This Row],[Category]],tCategories[Category],0)),"Unknown category")</f>
        <v>Investment</v>
      </c>
      <c r="F91" s="34" t="n">
        <f aca="false">MONTH(tTransactions[[#This Row],[Date]])</f>
        <v>3</v>
      </c>
      <c r="G91" s="34" t="n">
        <f aca="false">YEAR(tTransactions[[#This Row],[Date]])</f>
        <v>2026</v>
      </c>
    </row>
    <row r="92" customFormat="false" ht="15" hidden="false" customHeight="false" outlineLevel="0" collapsed="false">
      <c r="A92" s="30" t="n">
        <v>46092</v>
      </c>
      <c r="B92" s="31" t="s">
        <v>82</v>
      </c>
      <c r="C92" s="32" t="n">
        <v>212.42</v>
      </c>
      <c r="D92" s="31" t="s">
        <v>83</v>
      </c>
      <c r="E92" s="33" t="str">
        <f aca="false">IFERROR(INDEX(tCategories[Type],MATCH(tTransactions[[#This Row],[Category]],tCategories[Category],0)),"Unknown category")</f>
        <v>Expense</v>
      </c>
      <c r="F92" s="34" t="n">
        <f aca="false">MONTH(tTransactions[[#This Row],[Date]])</f>
        <v>3</v>
      </c>
      <c r="G92" s="34" t="n">
        <f aca="false">YEAR(tTransactions[[#This Row],[Date]])</f>
        <v>2026</v>
      </c>
    </row>
    <row r="93" customFormat="false" ht="15" hidden="false" customHeight="false" outlineLevel="0" collapsed="false">
      <c r="A93" s="30" t="n">
        <v>46093</v>
      </c>
      <c r="B93" s="31" t="s">
        <v>92</v>
      </c>
      <c r="C93" s="32" t="n">
        <v>900</v>
      </c>
      <c r="D93" s="31" t="s">
        <v>93</v>
      </c>
      <c r="E93" s="33" t="str">
        <f aca="false">IFERROR(INDEX(tCategories[Type],MATCH(tTransactions[[#This Row],[Category]],tCategories[Category],0)),"Unknown category")</f>
        <v>Loan payment</v>
      </c>
      <c r="F93" s="34" t="n">
        <f aca="false">MONTH(tTransactions[[#This Row],[Date]])</f>
        <v>3</v>
      </c>
      <c r="G93" s="34" t="n">
        <f aca="false">YEAR(tTransactions[[#This Row],[Date]])</f>
        <v>2026</v>
      </c>
    </row>
    <row r="94" customFormat="false" ht="15" hidden="false" customHeight="false" outlineLevel="0" collapsed="false">
      <c r="A94" s="30" t="n">
        <v>46093</v>
      </c>
      <c r="B94" s="31" t="s">
        <v>77</v>
      </c>
      <c r="C94" s="32" t="n">
        <v>112.56</v>
      </c>
      <c r="D94" s="31" t="s">
        <v>78</v>
      </c>
      <c r="E94" s="33" t="str">
        <f aca="false">IFERROR(INDEX(tCategories[Type],MATCH(tTransactions[[#This Row],[Category]],tCategories[Category],0)),"Unknown category")</f>
        <v>Expense</v>
      </c>
      <c r="F94" s="34" t="n">
        <f aca="false">MONTH(tTransactions[[#This Row],[Date]])</f>
        <v>3</v>
      </c>
      <c r="G94" s="34" t="n">
        <f aca="false">YEAR(tTransactions[[#This Row],[Date]])</f>
        <v>2026</v>
      </c>
    </row>
    <row r="95" customFormat="false" ht="15" hidden="false" customHeight="false" outlineLevel="0" collapsed="false">
      <c r="A95" s="30" t="n">
        <v>46096</v>
      </c>
      <c r="B95" s="31" t="s">
        <v>75</v>
      </c>
      <c r="C95" s="32" t="n">
        <v>479</v>
      </c>
      <c r="D95" s="31" t="s">
        <v>94</v>
      </c>
      <c r="E95" s="33" t="str">
        <f aca="false">IFERROR(INDEX(tCategories[Type],MATCH(tTransactions[[#This Row],[Category]],tCategories[Category],0)),"Unknown category")</f>
        <v>Expense</v>
      </c>
      <c r="F95" s="34" t="n">
        <f aca="false">MONTH(tTransactions[[#This Row],[Date]])</f>
        <v>3</v>
      </c>
      <c r="G95" s="34" t="n">
        <f aca="false">YEAR(tTransactions[[#This Row],[Date]])</f>
        <v>2026</v>
      </c>
    </row>
    <row r="96" customFormat="false" ht="15" hidden="false" customHeight="false" outlineLevel="0" collapsed="false">
      <c r="A96" s="30" t="n">
        <v>46097</v>
      </c>
      <c r="B96" s="31" t="s">
        <v>77</v>
      </c>
      <c r="C96" s="32" t="n">
        <v>48.41</v>
      </c>
      <c r="D96" s="31" t="s">
        <v>78</v>
      </c>
      <c r="E96" s="33" t="str">
        <f aca="false">IFERROR(INDEX(tCategories[Type],MATCH(tTransactions[[#This Row],[Category]],tCategories[Category],0)),"Unknown category")</f>
        <v>Expense</v>
      </c>
      <c r="F96" s="34" t="n">
        <f aca="false">MONTH(tTransactions[[#This Row],[Date]])</f>
        <v>3</v>
      </c>
      <c r="G96" s="34" t="n">
        <f aca="false">YEAR(tTransactions[[#This Row],[Date]])</f>
        <v>2026</v>
      </c>
    </row>
    <row r="97" customFormat="false" ht="15" hidden="false" customHeight="false" outlineLevel="0" collapsed="false">
      <c r="A97" s="30" t="n">
        <v>46099</v>
      </c>
      <c r="B97" s="31" t="s">
        <v>77</v>
      </c>
      <c r="C97" s="32" t="n">
        <v>37.34</v>
      </c>
      <c r="D97" s="31"/>
      <c r="E97" s="33" t="str">
        <f aca="false">IFERROR(INDEX(tCategories[Type],MATCH(tTransactions[[#This Row],[Category]],tCategories[Category],0)),"Unknown category")</f>
        <v>Expense</v>
      </c>
      <c r="F97" s="34" t="n">
        <f aca="false">MONTH(tTransactions[[#This Row],[Date]])</f>
        <v>3</v>
      </c>
      <c r="G97" s="34" t="n">
        <f aca="false">YEAR(tTransactions[[#This Row],[Date]])</f>
        <v>2026</v>
      </c>
    </row>
    <row r="98" customFormat="false" ht="15" hidden="false" customHeight="false" outlineLevel="0" collapsed="false">
      <c r="A98" s="30" t="n">
        <v>46099</v>
      </c>
      <c r="B98" s="31" t="s">
        <v>82</v>
      </c>
      <c r="C98" s="32" t="n">
        <v>195.19</v>
      </c>
      <c r="D98" s="31" t="s">
        <v>83</v>
      </c>
      <c r="E98" s="33" t="str">
        <f aca="false">IFERROR(INDEX(tCategories[Type],MATCH(tTransactions[[#This Row],[Category]],tCategories[Category],0)),"Unknown category")</f>
        <v>Expense</v>
      </c>
      <c r="F98" s="34" t="n">
        <f aca="false">MONTH(tTransactions[[#This Row],[Date]])</f>
        <v>3</v>
      </c>
      <c r="G98" s="34" t="n">
        <f aca="false">YEAR(tTransactions[[#This Row],[Date]])</f>
        <v>2026</v>
      </c>
    </row>
    <row r="99" customFormat="false" ht="15" hidden="false" customHeight="false" outlineLevel="0" collapsed="false">
      <c r="A99" s="30" t="n">
        <v>46100</v>
      </c>
      <c r="B99" s="31" t="s">
        <v>77</v>
      </c>
      <c r="C99" s="32" t="n">
        <v>145.18</v>
      </c>
      <c r="D99" s="31" t="s">
        <v>81</v>
      </c>
      <c r="E99" s="33" t="str">
        <f aca="false">IFERROR(INDEX(tCategories[Type],MATCH(tTransactions[[#This Row],[Category]],tCategories[Category],0)),"Unknown category")</f>
        <v>Expense</v>
      </c>
      <c r="F99" s="34" t="n">
        <f aca="false">MONTH(tTransactions[[#This Row],[Date]])</f>
        <v>3</v>
      </c>
      <c r="G99" s="34" t="n">
        <f aca="false">YEAR(tTransactions[[#This Row],[Date]])</f>
        <v>2026</v>
      </c>
    </row>
    <row r="100" customFormat="false" ht="15" hidden="false" customHeight="false" outlineLevel="0" collapsed="false">
      <c r="A100" s="30" t="n">
        <v>46101</v>
      </c>
      <c r="B100" s="31" t="s">
        <v>96</v>
      </c>
      <c r="C100" s="32" t="n">
        <v>120</v>
      </c>
      <c r="D100" s="31" t="s">
        <v>97</v>
      </c>
      <c r="E100" s="33" t="str">
        <f aca="false">IFERROR(INDEX(tCategories[Type],MATCH(tTransactions[[#This Row],[Category]],tCategories[Category],0)),"Unknown category")</f>
        <v>Expense</v>
      </c>
      <c r="F100" s="34" t="n">
        <f aca="false">MONTH(tTransactions[[#This Row],[Date]])</f>
        <v>3</v>
      </c>
      <c r="G100" s="34" t="n">
        <f aca="false">YEAR(tTransactions[[#This Row],[Date]])</f>
        <v>2026</v>
      </c>
    </row>
    <row r="101" customFormat="false" ht="15" hidden="false" customHeight="false" outlineLevel="0" collapsed="false">
      <c r="A101" s="30" t="n">
        <v>46102</v>
      </c>
      <c r="B101" s="31" t="s">
        <v>87</v>
      </c>
      <c r="C101" s="32" t="n">
        <v>83.06</v>
      </c>
      <c r="D101" s="31" t="s">
        <v>105</v>
      </c>
      <c r="E101" s="33" t="str">
        <f aca="false">IFERROR(INDEX(tCategories[Type],MATCH(tTransactions[[#This Row],[Category]],tCategories[Category],0)),"Unknown category")</f>
        <v>Expense</v>
      </c>
      <c r="F101" s="34" t="n">
        <f aca="false">MONTH(tTransactions[[#This Row],[Date]])</f>
        <v>3</v>
      </c>
      <c r="G101" s="34" t="n">
        <f aca="false">YEAR(tTransactions[[#This Row],[Date]])</f>
        <v>2026</v>
      </c>
    </row>
    <row r="102" customFormat="false" ht="15" hidden="false" customHeight="false" outlineLevel="0" collapsed="false">
      <c r="A102" s="30" t="n">
        <v>46102</v>
      </c>
      <c r="B102" s="31" t="s">
        <v>87</v>
      </c>
      <c r="C102" s="32" t="n">
        <v>167.08</v>
      </c>
      <c r="D102" s="31" t="s">
        <v>88</v>
      </c>
      <c r="E102" s="33" t="str">
        <f aca="false">IFERROR(INDEX(tCategories[Type],MATCH(tTransactions[[#This Row],[Category]],tCategories[Category],0)),"Unknown category")</f>
        <v>Expense</v>
      </c>
      <c r="F102" s="34" t="n">
        <f aca="false">MONTH(tTransactions[[#This Row],[Date]])</f>
        <v>3</v>
      </c>
      <c r="G102" s="34" t="n">
        <f aca="false">YEAR(tTransactions[[#This Row],[Date]])</f>
        <v>2026</v>
      </c>
    </row>
    <row r="103" customFormat="false" ht="15" hidden="false" customHeight="false" outlineLevel="0" collapsed="false">
      <c r="A103" s="30" t="n">
        <v>46103</v>
      </c>
      <c r="B103" s="31" t="s">
        <v>77</v>
      </c>
      <c r="C103" s="32" t="n">
        <v>42.02</v>
      </c>
      <c r="D103" s="31"/>
      <c r="E103" s="33" t="str">
        <f aca="false">IFERROR(INDEX(tCategories[Type],MATCH(tTransactions[[#This Row],[Category]],tCategories[Category],0)),"Unknown category")</f>
        <v>Expense</v>
      </c>
      <c r="F103" s="34" t="n">
        <f aca="false">MONTH(tTransactions[[#This Row],[Date]])</f>
        <v>3</v>
      </c>
      <c r="G103" s="34" t="n">
        <f aca="false">YEAR(tTransactions[[#This Row],[Date]])</f>
        <v>2026</v>
      </c>
    </row>
    <row r="104" customFormat="false" ht="15" hidden="false" customHeight="false" outlineLevel="0" collapsed="false">
      <c r="A104" s="30" t="n">
        <v>46104</v>
      </c>
      <c r="B104" s="31" t="s">
        <v>77</v>
      </c>
      <c r="C104" s="32" t="n">
        <v>149.45</v>
      </c>
      <c r="D104" s="31"/>
      <c r="E104" s="33" t="str">
        <f aca="false">IFERROR(INDEX(tCategories[Type],MATCH(tTransactions[[#This Row],[Category]],tCategories[Category],0)),"Unknown category")</f>
        <v>Expense</v>
      </c>
      <c r="F104" s="34" t="n">
        <f aca="false">MONTH(tTransactions[[#This Row],[Date]])</f>
        <v>3</v>
      </c>
      <c r="G104" s="34" t="n">
        <f aca="false">YEAR(tTransactions[[#This Row],[Date]])</f>
        <v>2026</v>
      </c>
    </row>
    <row r="105" customFormat="false" ht="15" hidden="false" customHeight="false" outlineLevel="0" collapsed="false">
      <c r="A105" s="30" t="n">
        <v>46105</v>
      </c>
      <c r="B105" s="31" t="s">
        <v>77</v>
      </c>
      <c r="C105" s="32" t="n">
        <v>91.84</v>
      </c>
      <c r="D105" s="31" t="s">
        <v>95</v>
      </c>
      <c r="E105" s="33" t="str">
        <f aca="false">IFERROR(INDEX(tCategories[Type],MATCH(tTransactions[[#This Row],[Category]],tCategories[Category],0)),"Unknown category")</f>
        <v>Expense</v>
      </c>
      <c r="F105" s="34" t="n">
        <f aca="false">MONTH(tTransactions[[#This Row],[Date]])</f>
        <v>3</v>
      </c>
      <c r="G105" s="34" t="n">
        <f aca="false">YEAR(tTransactions[[#This Row],[Date]])</f>
        <v>2026</v>
      </c>
    </row>
    <row r="106" customFormat="false" ht="15" hidden="false" customHeight="false" outlineLevel="0" collapsed="false">
      <c r="A106" s="30" t="n">
        <v>46106</v>
      </c>
      <c r="B106" s="31" t="s">
        <v>82</v>
      </c>
      <c r="C106" s="32" t="n">
        <v>241.54</v>
      </c>
      <c r="D106" s="31" t="s">
        <v>83</v>
      </c>
      <c r="E106" s="33" t="str">
        <f aca="false">IFERROR(INDEX(tCategories[Type],MATCH(tTransactions[[#This Row],[Category]],tCategories[Category],0)),"Unknown category")</f>
        <v>Expense</v>
      </c>
      <c r="F106" s="34" t="n">
        <f aca="false">MONTH(tTransactions[[#This Row],[Date]])</f>
        <v>3</v>
      </c>
      <c r="G106" s="34" t="n">
        <f aca="false">YEAR(tTransactions[[#This Row],[Date]])</f>
        <v>2026</v>
      </c>
    </row>
    <row r="107" customFormat="false" ht="15" hidden="false" customHeight="false" outlineLevel="0" collapsed="false">
      <c r="A107" s="30" t="n">
        <v>46106</v>
      </c>
      <c r="B107" s="31" t="s">
        <v>84</v>
      </c>
      <c r="C107" s="32" t="n">
        <v>119.72</v>
      </c>
      <c r="D107" s="31" t="s">
        <v>86</v>
      </c>
      <c r="E107" s="33" t="str">
        <f aca="false">IFERROR(INDEX(tCategories[Type],MATCH(tTransactions[[#This Row],[Category]],tCategories[Category],0)),"Unknown category")</f>
        <v>Expense</v>
      </c>
      <c r="F107" s="34" t="n">
        <f aca="false">MONTH(tTransactions[[#This Row],[Date]])</f>
        <v>3</v>
      </c>
      <c r="G107" s="34" t="n">
        <f aca="false">YEAR(tTransactions[[#This Row],[Date]])</f>
        <v>2026</v>
      </c>
    </row>
    <row r="108" customFormat="false" ht="15" hidden="false" customHeight="false" outlineLevel="0" collapsed="false">
      <c r="A108" s="30" t="n">
        <v>46106</v>
      </c>
      <c r="B108" s="31" t="s">
        <v>79</v>
      </c>
      <c r="C108" s="32" t="n">
        <v>305.58</v>
      </c>
      <c r="D108" s="31" t="s">
        <v>80</v>
      </c>
      <c r="E108" s="33" t="str">
        <f aca="false">IFERROR(INDEX(tCategories[Type],MATCH(tTransactions[[#This Row],[Category]],tCategories[Category],0)),"Unknown category")</f>
        <v>Income</v>
      </c>
      <c r="F108" s="34" t="n">
        <f aca="false">MONTH(tTransactions[[#This Row],[Date]])</f>
        <v>3</v>
      </c>
      <c r="G108" s="34" t="n">
        <f aca="false">YEAR(tTransactions[[#This Row],[Date]])</f>
        <v>2026</v>
      </c>
    </row>
    <row r="109" customFormat="false" ht="15" hidden="false" customHeight="false" outlineLevel="0" collapsed="false">
      <c r="A109" s="30" t="n">
        <v>46109</v>
      </c>
      <c r="B109" s="31" t="s">
        <v>77</v>
      </c>
      <c r="C109" s="32" t="n">
        <v>135.68</v>
      </c>
      <c r="D109" s="31" t="s">
        <v>95</v>
      </c>
      <c r="E109" s="33" t="str">
        <f aca="false">IFERROR(INDEX(tCategories[Type],MATCH(tTransactions[[#This Row],[Category]],tCategories[Category],0)),"Unknown category")</f>
        <v>Expense</v>
      </c>
      <c r="F109" s="34" t="n">
        <f aca="false">MONTH(tTransactions[[#This Row],[Date]])</f>
        <v>3</v>
      </c>
      <c r="G109" s="34" t="n">
        <f aca="false">YEAR(tTransactions[[#This Row],[Date]])</f>
        <v>2026</v>
      </c>
    </row>
    <row r="110" customFormat="false" ht="15" hidden="false" customHeight="false" outlineLevel="0" collapsed="false">
      <c r="A110" s="30" t="n">
        <v>46111</v>
      </c>
      <c r="B110" s="31" t="s">
        <v>77</v>
      </c>
      <c r="C110" s="32" t="n">
        <v>118.63</v>
      </c>
      <c r="D110" s="31" t="s">
        <v>95</v>
      </c>
      <c r="E110" s="33" t="str">
        <f aca="false">IFERROR(INDEX(tCategories[Type],MATCH(tTransactions[[#This Row],[Category]],tCategories[Category],0)),"Unknown category")</f>
        <v>Expense</v>
      </c>
      <c r="F110" s="34" t="n">
        <f aca="false">MONTH(tTransactions[[#This Row],[Date]])</f>
        <v>3</v>
      </c>
      <c r="G110" s="34" t="n">
        <f aca="false">YEAR(tTransactions[[#This Row],[Date]])</f>
        <v>2026</v>
      </c>
    </row>
    <row r="111" customFormat="false" ht="15" hidden="false" customHeight="false" outlineLevel="0" collapsed="false">
      <c r="A111" s="30" t="n">
        <v>46112</v>
      </c>
      <c r="B111" s="31" t="s">
        <v>77</v>
      </c>
      <c r="C111" s="32" t="n">
        <v>130.39</v>
      </c>
      <c r="D111" s="31" t="s">
        <v>81</v>
      </c>
      <c r="E111" s="33" t="str">
        <f aca="false">IFERROR(INDEX(tCategories[Type],MATCH(tTransactions[[#This Row],[Category]],tCategories[Category],0)),"Unknown category")</f>
        <v>Expense</v>
      </c>
      <c r="F111" s="34" t="n">
        <f aca="false">MONTH(tTransactions[[#This Row],[Date]])</f>
        <v>3</v>
      </c>
      <c r="G111" s="34" t="n">
        <f aca="false">YEAR(tTransactions[[#This Row],[Date]])</f>
        <v>2026</v>
      </c>
    </row>
    <row r="112" customFormat="false" ht="15" hidden="false" customHeight="false" outlineLevel="0" collapsed="false">
      <c r="A112" s="30" t="n">
        <v>46113</v>
      </c>
      <c r="B112" s="31" t="s">
        <v>75</v>
      </c>
      <c r="C112" s="32" t="n">
        <v>2200</v>
      </c>
      <c r="D112" s="31" t="s">
        <v>76</v>
      </c>
      <c r="E112" s="33" t="str">
        <f aca="false">IFERROR(INDEX(tCategories[Type],MATCH(tTransactions[[#This Row],[Category]],tCategories[Category],0)),"Unknown category")</f>
        <v>Expense</v>
      </c>
      <c r="F112" s="34" t="n">
        <f aca="false">MONTH(tTransactions[[#This Row],[Date]])</f>
        <v>4</v>
      </c>
      <c r="G112" s="34" t="n">
        <f aca="false">YEAR(tTransactions[[#This Row],[Date]])</f>
        <v>2026</v>
      </c>
    </row>
    <row r="113" customFormat="false" ht="15" hidden="false" customHeight="false" outlineLevel="0" collapsed="false">
      <c r="A113" s="30" t="n">
        <v>46113</v>
      </c>
      <c r="B113" s="31" t="s">
        <v>99</v>
      </c>
      <c r="C113" s="32" t="n">
        <v>395.34</v>
      </c>
      <c r="D113" s="31" t="s">
        <v>99</v>
      </c>
      <c r="E113" s="33" t="str">
        <f aca="false">IFERROR(INDEX(tCategories[Type],MATCH(tTransactions[[#This Row],[Category]],tCategories[Category],0)),"Unknown category")</f>
        <v>Expense</v>
      </c>
      <c r="F113" s="34" t="n">
        <f aca="false">MONTH(tTransactions[[#This Row],[Date]])</f>
        <v>4</v>
      </c>
      <c r="G113" s="34" t="n">
        <f aca="false">YEAR(tTransactions[[#This Row],[Date]])</f>
        <v>2026</v>
      </c>
    </row>
    <row r="114" customFormat="false" ht="15" hidden="false" customHeight="false" outlineLevel="0" collapsed="false">
      <c r="A114" s="30" t="n">
        <v>46114</v>
      </c>
      <c r="B114" s="31" t="s">
        <v>77</v>
      </c>
      <c r="C114" s="32" t="n">
        <v>150.43</v>
      </c>
      <c r="D114" s="31"/>
      <c r="E114" s="33" t="str">
        <f aca="false">IFERROR(INDEX(tCategories[Type],MATCH(tTransactions[[#This Row],[Category]],tCategories[Category],0)),"Unknown category")</f>
        <v>Expense</v>
      </c>
      <c r="F114" s="34" t="n">
        <f aca="false">MONTH(tTransactions[[#This Row],[Date]])</f>
        <v>4</v>
      </c>
      <c r="G114" s="34" t="n">
        <f aca="false">YEAR(tTransactions[[#This Row],[Date]])</f>
        <v>2026</v>
      </c>
    </row>
    <row r="115" customFormat="false" ht="15" hidden="false" customHeight="false" outlineLevel="0" collapsed="false">
      <c r="A115" s="30" t="n">
        <v>46114</v>
      </c>
      <c r="B115" s="31" t="s">
        <v>106</v>
      </c>
      <c r="C115" s="32" t="n">
        <v>500</v>
      </c>
      <c r="D115" s="31" t="s">
        <v>107</v>
      </c>
      <c r="E115" s="33" t="str">
        <f aca="false">IFERROR(INDEX(tCategories[Type],MATCH(tTransactions[[#This Row],[Category]],tCategories[Category],0)),"Unknown category")</f>
        <v>Private loan in</v>
      </c>
      <c r="F115" s="34" t="n">
        <f aca="false">MONTH(tTransactions[[#This Row],[Date]])</f>
        <v>4</v>
      </c>
      <c r="G115" s="34" t="n">
        <f aca="false">YEAR(tTransactions[[#This Row],[Date]])</f>
        <v>2026</v>
      </c>
    </row>
    <row r="116" customFormat="false" ht="15" hidden="false" customHeight="false" outlineLevel="0" collapsed="false">
      <c r="A116" s="30" t="n">
        <v>46115</v>
      </c>
      <c r="B116" s="31" t="s">
        <v>77</v>
      </c>
      <c r="C116" s="32" t="n">
        <v>82.4</v>
      </c>
      <c r="D116" s="31" t="s">
        <v>81</v>
      </c>
      <c r="E116" s="33" t="str">
        <f aca="false">IFERROR(INDEX(tCategories[Type],MATCH(tTransactions[[#This Row],[Category]],tCategories[Category],0)),"Unknown category")</f>
        <v>Expense</v>
      </c>
      <c r="F116" s="34" t="n">
        <f aca="false">MONTH(tTransactions[[#This Row],[Date]])</f>
        <v>4</v>
      </c>
      <c r="G116" s="34" t="n">
        <f aca="false">YEAR(tTransactions[[#This Row],[Date]])</f>
        <v>2026</v>
      </c>
    </row>
    <row r="117" customFormat="false" ht="15" hidden="false" customHeight="false" outlineLevel="0" collapsed="false">
      <c r="A117" s="30" t="n">
        <v>46116</v>
      </c>
      <c r="B117" s="31" t="s">
        <v>77</v>
      </c>
      <c r="C117" s="32" t="n">
        <v>98.77</v>
      </c>
      <c r="D117" s="31" t="s">
        <v>95</v>
      </c>
      <c r="E117" s="33" t="str">
        <f aca="false">IFERROR(INDEX(tCategories[Type],MATCH(tTransactions[[#This Row],[Category]],tCategories[Category],0)),"Unknown category")</f>
        <v>Expense</v>
      </c>
      <c r="F117" s="34" t="n">
        <f aca="false">MONTH(tTransactions[[#This Row],[Date]])</f>
        <v>4</v>
      </c>
      <c r="G117" s="34" t="n">
        <f aca="false">YEAR(tTransactions[[#This Row],[Date]])</f>
        <v>2026</v>
      </c>
    </row>
    <row r="118" customFormat="false" ht="15" hidden="false" customHeight="false" outlineLevel="0" collapsed="false">
      <c r="A118" s="30" t="n">
        <v>46116</v>
      </c>
      <c r="B118" s="31" t="s">
        <v>82</v>
      </c>
      <c r="C118" s="32" t="n">
        <v>254.47</v>
      </c>
      <c r="D118" s="31" t="s">
        <v>83</v>
      </c>
      <c r="E118" s="33" t="str">
        <f aca="false">IFERROR(INDEX(tCategories[Type],MATCH(tTransactions[[#This Row],[Category]],tCategories[Category],0)),"Unknown category")</f>
        <v>Expense</v>
      </c>
      <c r="F118" s="34" t="n">
        <f aca="false">MONTH(tTransactions[[#This Row],[Date]])</f>
        <v>4</v>
      </c>
      <c r="G118" s="34" t="n">
        <f aca="false">YEAR(tTransactions[[#This Row],[Date]])</f>
        <v>2026</v>
      </c>
    </row>
    <row r="119" customFormat="false" ht="15" hidden="false" customHeight="false" outlineLevel="0" collapsed="false">
      <c r="A119" s="30" t="n">
        <v>46117</v>
      </c>
      <c r="B119" s="31" t="s">
        <v>77</v>
      </c>
      <c r="C119" s="32" t="n">
        <v>110.49</v>
      </c>
      <c r="D119" s="31" t="s">
        <v>78</v>
      </c>
      <c r="E119" s="33" t="str">
        <f aca="false">IFERROR(INDEX(tCategories[Type],MATCH(tTransactions[[#This Row],[Category]],tCategories[Category],0)),"Unknown category")</f>
        <v>Expense</v>
      </c>
      <c r="F119" s="34" t="n">
        <f aca="false">MONTH(tTransactions[[#This Row],[Date]])</f>
        <v>4</v>
      </c>
      <c r="G119" s="34" t="n">
        <f aca="false">YEAR(tTransactions[[#This Row],[Date]])</f>
        <v>2026</v>
      </c>
    </row>
    <row r="120" customFormat="false" ht="15" hidden="false" customHeight="false" outlineLevel="0" collapsed="false">
      <c r="A120" s="30" t="n">
        <v>46117</v>
      </c>
      <c r="B120" s="31" t="s">
        <v>87</v>
      </c>
      <c r="C120" s="32" t="n">
        <v>127.94</v>
      </c>
      <c r="D120" s="31" t="s">
        <v>101</v>
      </c>
      <c r="E120" s="33" t="str">
        <f aca="false">IFERROR(INDEX(tCategories[Type],MATCH(tTransactions[[#This Row],[Category]],tCategories[Category],0)),"Unknown category")</f>
        <v>Expense</v>
      </c>
      <c r="F120" s="34" t="n">
        <f aca="false">MONTH(tTransactions[[#This Row],[Date]])</f>
        <v>4</v>
      </c>
      <c r="G120" s="34" t="n">
        <f aca="false">YEAR(tTransactions[[#This Row],[Date]])</f>
        <v>2026</v>
      </c>
    </row>
    <row r="121" customFormat="false" ht="15" hidden="false" customHeight="false" outlineLevel="0" collapsed="false">
      <c r="A121" s="30" t="n">
        <v>46118</v>
      </c>
      <c r="B121" s="31" t="s">
        <v>77</v>
      </c>
      <c r="C121" s="32" t="n">
        <v>140.99</v>
      </c>
      <c r="D121" s="31" t="s">
        <v>81</v>
      </c>
      <c r="E121" s="33" t="str">
        <f aca="false">IFERROR(INDEX(tCategories[Type],MATCH(tTransactions[[#This Row],[Category]],tCategories[Category],0)),"Unknown category")</f>
        <v>Expense</v>
      </c>
      <c r="F121" s="34" t="n">
        <f aca="false">MONTH(tTransactions[[#This Row],[Date]])</f>
        <v>4</v>
      </c>
      <c r="G121" s="34" t="n">
        <f aca="false">YEAR(tTransactions[[#This Row],[Date]])</f>
        <v>2026</v>
      </c>
    </row>
    <row r="122" customFormat="false" ht="15" hidden="false" customHeight="false" outlineLevel="0" collapsed="false">
      <c r="A122" s="30" t="n">
        <v>46119</v>
      </c>
      <c r="B122" s="31" t="s">
        <v>77</v>
      </c>
      <c r="C122" s="32" t="n">
        <v>145.8</v>
      </c>
      <c r="D122" s="31" t="s">
        <v>81</v>
      </c>
      <c r="E122" s="33" t="str">
        <f aca="false">IFERROR(INDEX(tCategories[Type],MATCH(tTransactions[[#This Row],[Category]],tCategories[Category],0)),"Unknown category")</f>
        <v>Expense</v>
      </c>
      <c r="F122" s="34" t="n">
        <f aca="false">MONTH(tTransactions[[#This Row],[Date]])</f>
        <v>4</v>
      </c>
      <c r="G122" s="34" t="n">
        <f aca="false">YEAR(tTransactions[[#This Row],[Date]])</f>
        <v>2026</v>
      </c>
    </row>
    <row r="123" customFormat="false" ht="15" hidden="false" customHeight="false" outlineLevel="0" collapsed="false">
      <c r="A123" s="30" t="n">
        <v>46120</v>
      </c>
      <c r="B123" s="31" t="s">
        <v>79</v>
      </c>
      <c r="C123" s="32" t="n">
        <v>155.32</v>
      </c>
      <c r="D123" s="31" t="s">
        <v>80</v>
      </c>
      <c r="E123" s="33" t="str">
        <f aca="false">IFERROR(INDEX(tCategories[Type],MATCH(tTransactions[[#This Row],[Category]],tCategories[Category],0)),"Unknown category")</f>
        <v>Income</v>
      </c>
      <c r="F123" s="34" t="n">
        <f aca="false">MONTH(tTransactions[[#This Row],[Date]])</f>
        <v>4</v>
      </c>
      <c r="G123" s="34" t="n">
        <f aca="false">YEAR(tTransactions[[#This Row],[Date]])</f>
        <v>2026</v>
      </c>
    </row>
    <row r="124" customFormat="false" ht="15" hidden="false" customHeight="false" outlineLevel="0" collapsed="false">
      <c r="A124" s="30" t="n">
        <v>46121</v>
      </c>
      <c r="B124" s="31" t="s">
        <v>77</v>
      </c>
      <c r="C124" s="32" t="n">
        <v>130.29</v>
      </c>
      <c r="D124" s="31" t="s">
        <v>95</v>
      </c>
      <c r="E124" s="33" t="str">
        <f aca="false">IFERROR(INDEX(tCategories[Type],MATCH(tTransactions[[#This Row],[Category]],tCategories[Category],0)),"Unknown category")</f>
        <v>Expense</v>
      </c>
      <c r="F124" s="34" t="n">
        <f aca="false">MONTH(tTransactions[[#This Row],[Date]])</f>
        <v>4</v>
      </c>
      <c r="G124" s="34" t="n">
        <f aca="false">YEAR(tTransactions[[#This Row],[Date]])</f>
        <v>2026</v>
      </c>
    </row>
    <row r="125" customFormat="false" ht="15" hidden="false" customHeight="false" outlineLevel="0" collapsed="false">
      <c r="A125" s="30" t="n">
        <v>46121</v>
      </c>
      <c r="B125" s="31" t="s">
        <v>87</v>
      </c>
      <c r="C125" s="32" t="n">
        <v>109.26</v>
      </c>
      <c r="D125" s="31" t="s">
        <v>101</v>
      </c>
      <c r="E125" s="33" t="str">
        <f aca="false">IFERROR(INDEX(tCategories[Type],MATCH(tTransactions[[#This Row],[Category]],tCategories[Category],0)),"Unknown category")</f>
        <v>Expense</v>
      </c>
      <c r="F125" s="34" t="n">
        <f aca="false">MONTH(tTransactions[[#This Row],[Date]])</f>
        <v>4</v>
      </c>
      <c r="G125" s="34" t="n">
        <f aca="false">YEAR(tTransactions[[#This Row],[Date]])</f>
        <v>2026</v>
      </c>
    </row>
    <row r="126" customFormat="false" ht="15" hidden="false" customHeight="false" outlineLevel="0" collapsed="false">
      <c r="A126" s="30" t="n">
        <v>46122</v>
      </c>
      <c r="B126" s="31" t="s">
        <v>89</v>
      </c>
      <c r="C126" s="32" t="n">
        <v>7400</v>
      </c>
      <c r="D126" s="31" t="s">
        <v>90</v>
      </c>
      <c r="E126" s="33" t="str">
        <f aca="false">IFERROR(INDEX(tCategories[Type],MATCH(tTransactions[[#This Row],[Category]],tCategories[Category],0)),"Unknown category")</f>
        <v>Income</v>
      </c>
      <c r="F126" s="34" t="n">
        <f aca="false">MONTH(tTransactions[[#This Row],[Date]])</f>
        <v>4</v>
      </c>
      <c r="G126" s="34" t="n">
        <f aca="false">YEAR(tTransactions[[#This Row],[Date]])</f>
        <v>2026</v>
      </c>
    </row>
    <row r="127" customFormat="false" ht="15" hidden="false" customHeight="false" outlineLevel="0" collapsed="false">
      <c r="A127" s="30" t="n">
        <v>46122</v>
      </c>
      <c r="B127" s="31" t="s">
        <v>77</v>
      </c>
      <c r="C127" s="32" t="n">
        <v>119.99</v>
      </c>
      <c r="D127" s="31" t="s">
        <v>81</v>
      </c>
      <c r="E127" s="33" t="str">
        <f aca="false">IFERROR(INDEX(tCategories[Type],MATCH(tTransactions[[#This Row],[Category]],tCategories[Category],0)),"Unknown category")</f>
        <v>Expense</v>
      </c>
      <c r="F127" s="34" t="n">
        <f aca="false">MONTH(tTransactions[[#This Row],[Date]])</f>
        <v>4</v>
      </c>
      <c r="G127" s="34" t="n">
        <f aca="false">YEAR(tTransactions[[#This Row],[Date]])</f>
        <v>2026</v>
      </c>
    </row>
    <row r="128" customFormat="false" ht="15" hidden="false" customHeight="false" outlineLevel="0" collapsed="false">
      <c r="A128" s="30" t="n">
        <v>46123</v>
      </c>
      <c r="B128" s="31" t="s">
        <v>62</v>
      </c>
      <c r="C128" s="32" t="n">
        <v>1500</v>
      </c>
      <c r="D128" s="31" t="s">
        <v>91</v>
      </c>
      <c r="E128" s="33" t="str">
        <f aca="false">IFERROR(INDEX(tCategories[Type],MATCH(tTransactions[[#This Row],[Category]],tCategories[Category],0)),"Unknown category")</f>
        <v>Investment</v>
      </c>
      <c r="F128" s="34" t="n">
        <f aca="false">MONTH(tTransactions[[#This Row],[Date]])</f>
        <v>4</v>
      </c>
      <c r="G128" s="34" t="n">
        <f aca="false">YEAR(tTransactions[[#This Row],[Date]])</f>
        <v>2026</v>
      </c>
    </row>
    <row r="129" customFormat="false" ht="15" hidden="false" customHeight="false" outlineLevel="0" collapsed="false">
      <c r="A129" s="30" t="n">
        <v>46123</v>
      </c>
      <c r="B129" s="31" t="s">
        <v>77</v>
      </c>
      <c r="C129" s="32" t="n">
        <v>29.75</v>
      </c>
      <c r="D129" s="31"/>
      <c r="E129" s="33" t="str">
        <f aca="false">IFERROR(INDEX(tCategories[Type],MATCH(tTransactions[[#This Row],[Category]],tCategories[Category],0)),"Unknown category")</f>
        <v>Expense</v>
      </c>
      <c r="F129" s="34" t="n">
        <f aca="false">MONTH(tTransactions[[#This Row],[Date]])</f>
        <v>4</v>
      </c>
      <c r="G129" s="34" t="n">
        <f aca="false">YEAR(tTransactions[[#This Row],[Date]])</f>
        <v>2026</v>
      </c>
    </row>
    <row r="130" customFormat="false" ht="15" hidden="false" customHeight="false" outlineLevel="0" collapsed="false">
      <c r="A130" s="30" t="n">
        <v>46123</v>
      </c>
      <c r="B130" s="31" t="s">
        <v>82</v>
      </c>
      <c r="C130" s="32" t="n">
        <v>216.71</v>
      </c>
      <c r="D130" s="31" t="s">
        <v>83</v>
      </c>
      <c r="E130" s="33" t="str">
        <f aca="false">IFERROR(INDEX(tCategories[Type],MATCH(tTransactions[[#This Row],[Category]],tCategories[Category],0)),"Unknown category")</f>
        <v>Expense</v>
      </c>
      <c r="F130" s="34" t="n">
        <f aca="false">MONTH(tTransactions[[#This Row],[Date]])</f>
        <v>4</v>
      </c>
      <c r="G130" s="34" t="n">
        <f aca="false">YEAR(tTransactions[[#This Row],[Date]])</f>
        <v>2026</v>
      </c>
    </row>
    <row r="131" customFormat="false" ht="15" hidden="false" customHeight="false" outlineLevel="0" collapsed="false">
      <c r="A131" s="30" t="n">
        <v>46124</v>
      </c>
      <c r="B131" s="31" t="s">
        <v>92</v>
      </c>
      <c r="C131" s="32" t="n">
        <v>900</v>
      </c>
      <c r="D131" s="31" t="s">
        <v>93</v>
      </c>
      <c r="E131" s="33" t="str">
        <f aca="false">IFERROR(INDEX(tCategories[Type],MATCH(tTransactions[[#This Row],[Category]],tCategories[Category],0)),"Unknown category")</f>
        <v>Loan payment</v>
      </c>
      <c r="F131" s="34" t="n">
        <f aca="false">MONTH(tTransactions[[#This Row],[Date]])</f>
        <v>4</v>
      </c>
      <c r="G131" s="34" t="n">
        <f aca="false">YEAR(tTransactions[[#This Row],[Date]])</f>
        <v>2026</v>
      </c>
    </row>
    <row r="132" customFormat="false" ht="15" hidden="false" customHeight="false" outlineLevel="0" collapsed="false">
      <c r="A132" s="30" t="n">
        <v>46124</v>
      </c>
      <c r="B132" s="31" t="s">
        <v>77</v>
      </c>
      <c r="C132" s="32" t="n">
        <v>77.84</v>
      </c>
      <c r="D132" s="31" t="s">
        <v>95</v>
      </c>
      <c r="E132" s="33" t="str">
        <f aca="false">IFERROR(INDEX(tCategories[Type],MATCH(tTransactions[[#This Row],[Category]],tCategories[Category],0)),"Unknown category")</f>
        <v>Expense</v>
      </c>
      <c r="F132" s="34" t="n">
        <f aca="false">MONTH(tTransactions[[#This Row],[Date]])</f>
        <v>4</v>
      </c>
      <c r="G132" s="34" t="n">
        <f aca="false">YEAR(tTransactions[[#This Row],[Date]])</f>
        <v>2026</v>
      </c>
    </row>
    <row r="133" customFormat="false" ht="15" hidden="false" customHeight="false" outlineLevel="0" collapsed="false">
      <c r="A133" s="30" t="n">
        <v>46125</v>
      </c>
      <c r="B133" s="31" t="s">
        <v>77</v>
      </c>
      <c r="C133" s="32" t="n">
        <v>22.03</v>
      </c>
      <c r="D133" s="31" t="s">
        <v>81</v>
      </c>
      <c r="E133" s="33" t="str">
        <f aca="false">IFERROR(INDEX(tCategories[Type],MATCH(tTransactions[[#This Row],[Category]],tCategories[Category],0)),"Unknown category")</f>
        <v>Expense</v>
      </c>
      <c r="F133" s="34" t="n">
        <f aca="false">MONTH(tTransactions[[#This Row],[Date]])</f>
        <v>4</v>
      </c>
      <c r="G133" s="34" t="n">
        <f aca="false">YEAR(tTransactions[[#This Row],[Date]])</f>
        <v>2026</v>
      </c>
    </row>
    <row r="134" customFormat="false" ht="15" hidden="false" customHeight="false" outlineLevel="0" collapsed="false">
      <c r="A134" s="30" t="n">
        <v>46126</v>
      </c>
      <c r="B134" s="31" t="s">
        <v>77</v>
      </c>
      <c r="C134" s="32" t="n">
        <v>22.98</v>
      </c>
      <c r="D134" s="31" t="s">
        <v>95</v>
      </c>
      <c r="E134" s="33" t="str">
        <f aca="false">IFERROR(INDEX(tCategories[Type],MATCH(tTransactions[[#This Row],[Category]],tCategories[Category],0)),"Unknown category")</f>
        <v>Expense</v>
      </c>
      <c r="F134" s="34" t="n">
        <f aca="false">MONTH(tTransactions[[#This Row],[Date]])</f>
        <v>4</v>
      </c>
      <c r="G134" s="34" t="n">
        <f aca="false">YEAR(tTransactions[[#This Row],[Date]])</f>
        <v>2026</v>
      </c>
    </row>
    <row r="135" customFormat="false" ht="15" hidden="false" customHeight="false" outlineLevel="0" collapsed="false">
      <c r="A135" s="30" t="n">
        <v>46127</v>
      </c>
      <c r="B135" s="31" t="s">
        <v>75</v>
      </c>
      <c r="C135" s="32" t="n">
        <v>480</v>
      </c>
      <c r="D135" s="31" t="s">
        <v>94</v>
      </c>
      <c r="E135" s="33" t="str">
        <f aca="false">IFERROR(INDEX(tCategories[Type],MATCH(tTransactions[[#This Row],[Category]],tCategories[Category],0)),"Unknown category")</f>
        <v>Expense</v>
      </c>
      <c r="F135" s="34" t="n">
        <f aca="false">MONTH(tTransactions[[#This Row],[Date]])</f>
        <v>4</v>
      </c>
      <c r="G135" s="34" t="n">
        <f aca="false">YEAR(tTransactions[[#This Row],[Date]])</f>
        <v>2026</v>
      </c>
    </row>
    <row r="136" customFormat="false" ht="15" hidden="false" customHeight="false" outlineLevel="0" collapsed="false">
      <c r="A136" s="30" t="n">
        <v>46129</v>
      </c>
      <c r="B136" s="31" t="s">
        <v>77</v>
      </c>
      <c r="C136" s="32" t="n">
        <v>159.97</v>
      </c>
      <c r="D136" s="31"/>
      <c r="E136" s="33" t="str">
        <f aca="false">IFERROR(INDEX(tCategories[Type],MATCH(tTransactions[[#This Row],[Category]],tCategories[Category],0)),"Unknown category")</f>
        <v>Expense</v>
      </c>
      <c r="F136" s="34" t="n">
        <f aca="false">MONTH(tTransactions[[#This Row],[Date]])</f>
        <v>4</v>
      </c>
      <c r="G136" s="34" t="n">
        <f aca="false">YEAR(tTransactions[[#This Row],[Date]])</f>
        <v>2026</v>
      </c>
    </row>
    <row r="137" customFormat="false" ht="15" hidden="false" customHeight="false" outlineLevel="0" collapsed="false">
      <c r="A137" s="30" t="n">
        <v>46129</v>
      </c>
      <c r="B137" s="31" t="s">
        <v>87</v>
      </c>
      <c r="C137" s="32" t="n">
        <v>123.44</v>
      </c>
      <c r="D137" s="31" t="s">
        <v>100</v>
      </c>
      <c r="E137" s="33" t="str">
        <f aca="false">IFERROR(INDEX(tCategories[Type],MATCH(tTransactions[[#This Row],[Category]],tCategories[Category],0)),"Unknown category")</f>
        <v>Expense</v>
      </c>
      <c r="F137" s="34" t="n">
        <f aca="false">MONTH(tTransactions[[#This Row],[Date]])</f>
        <v>4</v>
      </c>
      <c r="G137" s="34" t="n">
        <f aca="false">YEAR(tTransactions[[#This Row],[Date]])</f>
        <v>2026</v>
      </c>
    </row>
    <row r="138" customFormat="false" ht="15" hidden="false" customHeight="false" outlineLevel="0" collapsed="false">
      <c r="A138" s="30" t="n">
        <v>46130</v>
      </c>
      <c r="B138" s="31" t="s">
        <v>82</v>
      </c>
      <c r="C138" s="32" t="n">
        <v>253.66</v>
      </c>
      <c r="D138" s="31" t="s">
        <v>83</v>
      </c>
      <c r="E138" s="33" t="str">
        <f aca="false">IFERROR(INDEX(tCategories[Type],MATCH(tTransactions[[#This Row],[Category]],tCategories[Category],0)),"Unknown category")</f>
        <v>Expense</v>
      </c>
      <c r="F138" s="34" t="n">
        <f aca="false">MONTH(tTransactions[[#This Row],[Date]])</f>
        <v>4</v>
      </c>
      <c r="G138" s="34" t="n">
        <f aca="false">YEAR(tTransactions[[#This Row],[Date]])</f>
        <v>2026</v>
      </c>
    </row>
    <row r="139" customFormat="false" ht="15" hidden="false" customHeight="false" outlineLevel="0" collapsed="false">
      <c r="A139" s="30" t="n">
        <v>46131</v>
      </c>
      <c r="B139" s="31" t="s">
        <v>77</v>
      </c>
      <c r="C139" s="32" t="n">
        <v>152.78</v>
      </c>
      <c r="D139" s="31" t="s">
        <v>81</v>
      </c>
      <c r="E139" s="33" t="str">
        <f aca="false">IFERROR(INDEX(tCategories[Type],MATCH(tTransactions[[#This Row],[Category]],tCategories[Category],0)),"Unknown category")</f>
        <v>Expense</v>
      </c>
      <c r="F139" s="34" t="n">
        <f aca="false">MONTH(tTransactions[[#This Row],[Date]])</f>
        <v>4</v>
      </c>
      <c r="G139" s="34" t="n">
        <f aca="false">YEAR(tTransactions[[#This Row],[Date]])</f>
        <v>2026</v>
      </c>
    </row>
    <row r="140" customFormat="false" ht="15" hidden="false" customHeight="false" outlineLevel="0" collapsed="false">
      <c r="A140" s="30" t="n">
        <v>46132</v>
      </c>
      <c r="B140" s="31" t="s">
        <v>96</v>
      </c>
      <c r="C140" s="32" t="n">
        <v>80</v>
      </c>
      <c r="D140" s="31" t="s">
        <v>97</v>
      </c>
      <c r="E140" s="33" t="str">
        <f aca="false">IFERROR(INDEX(tCategories[Type],MATCH(tTransactions[[#This Row],[Category]],tCategories[Category],0)),"Unknown category")</f>
        <v>Expense</v>
      </c>
      <c r="F140" s="34" t="n">
        <f aca="false">MONTH(tTransactions[[#This Row],[Date]])</f>
        <v>4</v>
      </c>
      <c r="G140" s="34" t="n">
        <f aca="false">YEAR(tTransactions[[#This Row],[Date]])</f>
        <v>2026</v>
      </c>
    </row>
    <row r="141" customFormat="false" ht="15" hidden="false" customHeight="false" outlineLevel="0" collapsed="false">
      <c r="A141" s="30" t="n">
        <v>46133</v>
      </c>
      <c r="B141" s="31" t="s">
        <v>77</v>
      </c>
      <c r="C141" s="32" t="n">
        <v>97.35</v>
      </c>
      <c r="D141" s="31" t="s">
        <v>78</v>
      </c>
      <c r="E141" s="33" t="str">
        <f aca="false">IFERROR(INDEX(tCategories[Type],MATCH(tTransactions[[#This Row],[Category]],tCategories[Category],0)),"Unknown category")</f>
        <v>Expense</v>
      </c>
      <c r="F141" s="34" t="n">
        <f aca="false">MONTH(tTransactions[[#This Row],[Date]])</f>
        <v>4</v>
      </c>
      <c r="G141" s="34" t="n">
        <f aca="false">YEAR(tTransactions[[#This Row],[Date]])</f>
        <v>2026</v>
      </c>
    </row>
    <row r="142" customFormat="false" ht="15" hidden="false" customHeight="false" outlineLevel="0" collapsed="false">
      <c r="A142" s="30" t="n">
        <v>46134</v>
      </c>
      <c r="B142" s="31" t="s">
        <v>77</v>
      </c>
      <c r="C142" s="32" t="n">
        <v>137.79</v>
      </c>
      <c r="D142" s="31" t="s">
        <v>95</v>
      </c>
      <c r="E142" s="33" t="str">
        <f aca="false">IFERROR(INDEX(tCategories[Type],MATCH(tTransactions[[#This Row],[Category]],tCategories[Category],0)),"Unknown category")</f>
        <v>Expense</v>
      </c>
      <c r="F142" s="34" t="n">
        <f aca="false">MONTH(tTransactions[[#This Row],[Date]])</f>
        <v>4</v>
      </c>
      <c r="G142" s="34" t="n">
        <f aca="false">YEAR(tTransactions[[#This Row],[Date]])</f>
        <v>2026</v>
      </c>
    </row>
    <row r="143" customFormat="false" ht="15" hidden="false" customHeight="false" outlineLevel="0" collapsed="false">
      <c r="A143" s="30" t="n">
        <v>46135</v>
      </c>
      <c r="B143" s="31" t="s">
        <v>77</v>
      </c>
      <c r="C143" s="32" t="n">
        <v>72.13</v>
      </c>
      <c r="D143" s="31" t="s">
        <v>78</v>
      </c>
      <c r="E143" s="33" t="str">
        <f aca="false">IFERROR(INDEX(tCategories[Type],MATCH(tTransactions[[#This Row],[Category]],tCategories[Category],0)),"Unknown category")</f>
        <v>Expense</v>
      </c>
      <c r="F143" s="34" t="n">
        <f aca="false">MONTH(tTransactions[[#This Row],[Date]])</f>
        <v>4</v>
      </c>
      <c r="G143" s="34" t="n">
        <f aca="false">YEAR(tTransactions[[#This Row],[Date]])</f>
        <v>2026</v>
      </c>
    </row>
    <row r="144" customFormat="false" ht="15" hidden="false" customHeight="false" outlineLevel="0" collapsed="false">
      <c r="A144" s="30" t="n">
        <v>46135</v>
      </c>
      <c r="B144" s="31" t="s">
        <v>84</v>
      </c>
      <c r="C144" s="32" t="n">
        <v>178.06</v>
      </c>
      <c r="D144" s="31" t="s">
        <v>86</v>
      </c>
      <c r="E144" s="33" t="str">
        <f aca="false">IFERROR(INDEX(tCategories[Type],MATCH(tTransactions[[#This Row],[Category]],tCategories[Category],0)),"Unknown category")</f>
        <v>Expense</v>
      </c>
      <c r="F144" s="34" t="n">
        <f aca="false">MONTH(tTransactions[[#This Row],[Date]])</f>
        <v>4</v>
      </c>
      <c r="G144" s="34" t="n">
        <f aca="false">YEAR(tTransactions[[#This Row],[Date]])</f>
        <v>2026</v>
      </c>
    </row>
    <row r="145" customFormat="false" ht="15" hidden="false" customHeight="false" outlineLevel="0" collapsed="false">
      <c r="A145" s="30" t="n">
        <v>46136</v>
      </c>
      <c r="B145" s="31" t="s">
        <v>77</v>
      </c>
      <c r="C145" s="32" t="n">
        <v>38.04</v>
      </c>
      <c r="D145" s="31" t="s">
        <v>95</v>
      </c>
      <c r="E145" s="33" t="str">
        <f aca="false">IFERROR(INDEX(tCategories[Type],MATCH(tTransactions[[#This Row],[Category]],tCategories[Category],0)),"Unknown category")</f>
        <v>Expense</v>
      </c>
      <c r="F145" s="34" t="n">
        <f aca="false">MONTH(tTransactions[[#This Row],[Date]])</f>
        <v>4</v>
      </c>
      <c r="G145" s="34" t="n">
        <f aca="false">YEAR(tTransactions[[#This Row],[Date]])</f>
        <v>2026</v>
      </c>
    </row>
    <row r="146" customFormat="false" ht="15" hidden="false" customHeight="false" outlineLevel="0" collapsed="false">
      <c r="A146" s="30" t="n">
        <v>46137</v>
      </c>
      <c r="B146" s="31" t="s">
        <v>82</v>
      </c>
      <c r="C146" s="32" t="n">
        <v>244.03</v>
      </c>
      <c r="D146" s="31" t="s">
        <v>83</v>
      </c>
      <c r="E146" s="33" t="str">
        <f aca="false">IFERROR(INDEX(tCategories[Type],MATCH(tTransactions[[#This Row],[Category]],tCategories[Category],0)),"Unknown category")</f>
        <v>Expense</v>
      </c>
      <c r="F146" s="34" t="n">
        <f aca="false">MONTH(tTransactions[[#This Row],[Date]])</f>
        <v>4</v>
      </c>
      <c r="G146" s="34" t="n">
        <f aca="false">YEAR(tTransactions[[#This Row],[Date]])</f>
        <v>2026</v>
      </c>
    </row>
    <row r="147" customFormat="false" ht="15" hidden="false" customHeight="false" outlineLevel="0" collapsed="false">
      <c r="A147" s="30" t="n">
        <v>46138</v>
      </c>
      <c r="B147" s="31" t="s">
        <v>77</v>
      </c>
      <c r="C147" s="32" t="n">
        <v>94.1</v>
      </c>
      <c r="D147" s="31" t="s">
        <v>81</v>
      </c>
      <c r="E147" s="33" t="str">
        <f aca="false">IFERROR(INDEX(tCategories[Type],MATCH(tTransactions[[#This Row],[Category]],tCategories[Category],0)),"Unknown category")</f>
        <v>Expense</v>
      </c>
      <c r="F147" s="34" t="n">
        <f aca="false">MONTH(tTransactions[[#This Row],[Date]])</f>
        <v>4</v>
      </c>
      <c r="G147" s="34" t="n">
        <f aca="false">YEAR(tTransactions[[#This Row],[Date]])</f>
        <v>2026</v>
      </c>
    </row>
    <row r="148" customFormat="false" ht="15" hidden="false" customHeight="false" outlineLevel="0" collapsed="false">
      <c r="A148" s="30" t="n">
        <v>46140</v>
      </c>
      <c r="B148" s="31" t="s">
        <v>77</v>
      </c>
      <c r="C148" s="32" t="n">
        <v>155.66</v>
      </c>
      <c r="D148" s="31"/>
      <c r="E148" s="33" t="str">
        <f aca="false">IFERROR(INDEX(tCategories[Type],MATCH(tTransactions[[#This Row],[Category]],tCategories[Category],0)),"Unknown category")</f>
        <v>Expense</v>
      </c>
      <c r="F148" s="34" t="n">
        <f aca="false">MONTH(tTransactions[[#This Row],[Date]])</f>
        <v>4</v>
      </c>
      <c r="G148" s="34" t="n">
        <f aca="false">YEAR(tTransactions[[#This Row],[Date]])</f>
        <v>2026</v>
      </c>
    </row>
    <row r="149" customFormat="false" ht="15" hidden="false" customHeight="false" outlineLevel="0" collapsed="false">
      <c r="A149" s="30" t="n">
        <v>46140</v>
      </c>
      <c r="B149" s="31" t="s">
        <v>108</v>
      </c>
      <c r="C149" s="32" t="n">
        <v>420</v>
      </c>
      <c r="D149" s="31" t="s">
        <v>109</v>
      </c>
      <c r="E149" s="33" t="str">
        <f aca="false">IFERROR(INDEX(tCategories[Type],MATCH(tTransactions[[#This Row],[Category]],tCategories[Category],0)),"Unknown category")</f>
        <v>Expense</v>
      </c>
      <c r="F149" s="34" t="n">
        <f aca="false">MONTH(tTransactions[[#This Row],[Date]])</f>
        <v>4</v>
      </c>
      <c r="G149" s="34" t="n">
        <f aca="false">YEAR(tTransactions[[#This Row],[Date]])</f>
        <v>2026</v>
      </c>
    </row>
    <row r="150" customFormat="false" ht="15" hidden="false" customHeight="false" outlineLevel="0" collapsed="false">
      <c r="A150" s="30" t="n">
        <v>46141</v>
      </c>
      <c r="B150" s="31" t="s">
        <v>77</v>
      </c>
      <c r="C150" s="32" t="n">
        <v>158.5</v>
      </c>
      <c r="D150" s="31" t="s">
        <v>81</v>
      </c>
      <c r="E150" s="33" t="str">
        <f aca="false">IFERROR(INDEX(tCategories[Type],MATCH(tTransactions[[#This Row],[Category]],tCategories[Category],0)),"Unknown category")</f>
        <v>Expense</v>
      </c>
      <c r="F150" s="34" t="n">
        <f aca="false">MONTH(tTransactions[[#This Row],[Date]])</f>
        <v>4</v>
      </c>
      <c r="G150" s="34" t="n">
        <f aca="false">YEAR(tTransactions[[#This Row],[Date]])</f>
        <v>2026</v>
      </c>
    </row>
    <row r="151" customFormat="false" ht="15" hidden="false" customHeight="false" outlineLevel="0" collapsed="false">
      <c r="A151" s="30" t="n">
        <v>46142</v>
      </c>
      <c r="B151" s="31" t="s">
        <v>77</v>
      </c>
      <c r="C151" s="32" t="n">
        <v>116.12</v>
      </c>
      <c r="D151" s="31" t="s">
        <v>81</v>
      </c>
      <c r="E151" s="33" t="str">
        <f aca="false">IFERROR(INDEX(tCategories[Type],MATCH(tTransactions[[#This Row],[Category]],tCategories[Category],0)),"Unknown category")</f>
        <v>Expense</v>
      </c>
      <c r="F151" s="34" t="n">
        <f aca="false">MONTH(tTransactions[[#This Row],[Date]])</f>
        <v>4</v>
      </c>
      <c r="G151" s="34" t="n">
        <f aca="false">YEAR(tTransactions[[#This Row],[Date]])</f>
        <v>2026</v>
      </c>
    </row>
    <row r="152" customFormat="false" ht="15" hidden="false" customHeight="false" outlineLevel="0" collapsed="false">
      <c r="A152" s="30" t="n">
        <v>46143</v>
      </c>
      <c r="B152" s="31" t="s">
        <v>75</v>
      </c>
      <c r="C152" s="32" t="n">
        <v>2200</v>
      </c>
      <c r="D152" s="31" t="s">
        <v>76</v>
      </c>
      <c r="E152" s="33" t="str">
        <f aca="false">IFERROR(INDEX(tCategories[Type],MATCH(tTransactions[[#This Row],[Category]],tCategories[Category],0)),"Unknown category")</f>
        <v>Expense</v>
      </c>
      <c r="F152" s="34" t="n">
        <f aca="false">MONTH(tTransactions[[#This Row],[Date]])</f>
        <v>5</v>
      </c>
      <c r="G152" s="34" t="n">
        <f aca="false">YEAR(tTransactions[[#This Row],[Date]])</f>
        <v>2026</v>
      </c>
    </row>
    <row r="153" customFormat="false" ht="15" hidden="false" customHeight="false" outlineLevel="0" collapsed="false">
      <c r="A153" s="30" t="n">
        <v>46143</v>
      </c>
      <c r="B153" s="31" t="s">
        <v>77</v>
      </c>
      <c r="C153" s="32" t="n">
        <v>106.01</v>
      </c>
      <c r="D153" s="31" t="s">
        <v>81</v>
      </c>
      <c r="E153" s="33" t="str">
        <f aca="false">IFERROR(INDEX(tCategories[Type],MATCH(tTransactions[[#This Row],[Category]],tCategories[Category],0)),"Unknown category")</f>
        <v>Expense</v>
      </c>
      <c r="F153" s="34" t="n">
        <f aca="false">MONTH(tTransactions[[#This Row],[Date]])</f>
        <v>5</v>
      </c>
      <c r="G153" s="34" t="n">
        <f aca="false">YEAR(tTransactions[[#This Row],[Date]])</f>
        <v>2026</v>
      </c>
    </row>
    <row r="154" customFormat="false" ht="15" hidden="false" customHeight="false" outlineLevel="0" collapsed="false">
      <c r="A154" s="30" t="n">
        <v>46144</v>
      </c>
      <c r="B154" s="31" t="s">
        <v>77</v>
      </c>
      <c r="C154" s="32" t="n">
        <v>100.68</v>
      </c>
      <c r="D154" s="31" t="s">
        <v>95</v>
      </c>
      <c r="E154" s="33" t="str">
        <f aca="false">IFERROR(INDEX(tCategories[Type],MATCH(tTransactions[[#This Row],[Category]],tCategories[Category],0)),"Unknown category")</f>
        <v>Expense</v>
      </c>
      <c r="F154" s="34" t="n">
        <f aca="false">MONTH(tTransactions[[#This Row],[Date]])</f>
        <v>5</v>
      </c>
      <c r="G154" s="34" t="n">
        <f aca="false">YEAR(tTransactions[[#This Row],[Date]])</f>
        <v>2026</v>
      </c>
    </row>
    <row r="155" customFormat="false" ht="15" hidden="false" customHeight="false" outlineLevel="0" collapsed="false">
      <c r="A155" s="30" t="n">
        <v>46146</v>
      </c>
      <c r="B155" s="31" t="s">
        <v>82</v>
      </c>
      <c r="C155" s="32" t="n">
        <v>194.5</v>
      </c>
      <c r="D155" s="31" t="s">
        <v>83</v>
      </c>
      <c r="E155" s="33" t="str">
        <f aca="false">IFERROR(INDEX(tCategories[Type],MATCH(tTransactions[[#This Row],[Category]],tCategories[Category],0)),"Unknown category")</f>
        <v>Expense</v>
      </c>
      <c r="F155" s="34" t="n">
        <f aca="false">MONTH(tTransactions[[#This Row],[Date]])</f>
        <v>5</v>
      </c>
      <c r="G155" s="34" t="n">
        <f aca="false">YEAR(tTransactions[[#This Row],[Date]])</f>
        <v>2026</v>
      </c>
    </row>
    <row r="156" customFormat="false" ht="15" hidden="false" customHeight="false" outlineLevel="0" collapsed="false">
      <c r="A156" s="30" t="n">
        <v>46148</v>
      </c>
      <c r="B156" s="31" t="s">
        <v>77</v>
      </c>
      <c r="C156" s="32" t="n">
        <v>107.89</v>
      </c>
      <c r="D156" s="31" t="s">
        <v>78</v>
      </c>
      <c r="E156" s="33" t="str">
        <f aca="false">IFERROR(INDEX(tCategories[Type],MATCH(tTransactions[[#This Row],[Category]],tCategories[Category],0)),"Unknown category")</f>
        <v>Expense</v>
      </c>
      <c r="F156" s="34" t="n">
        <f aca="false">MONTH(tTransactions[[#This Row],[Date]])</f>
        <v>5</v>
      </c>
      <c r="G156" s="34" t="n">
        <f aca="false">YEAR(tTransactions[[#This Row],[Date]])</f>
        <v>2026</v>
      </c>
    </row>
    <row r="157" customFormat="false" ht="15" hidden="false" customHeight="false" outlineLevel="0" collapsed="false">
      <c r="A157" s="30" t="n">
        <v>46149</v>
      </c>
      <c r="B157" s="31" t="s">
        <v>77</v>
      </c>
      <c r="C157" s="32" t="n">
        <v>140.67</v>
      </c>
      <c r="D157" s="31" t="s">
        <v>78</v>
      </c>
      <c r="E157" s="33" t="str">
        <f aca="false">IFERROR(INDEX(tCategories[Type],MATCH(tTransactions[[#This Row],[Category]],tCategories[Category],0)),"Unknown category")</f>
        <v>Expense</v>
      </c>
      <c r="F157" s="34" t="n">
        <f aca="false">MONTH(tTransactions[[#This Row],[Date]])</f>
        <v>5</v>
      </c>
      <c r="G157" s="34" t="n">
        <f aca="false">YEAR(tTransactions[[#This Row],[Date]])</f>
        <v>2026</v>
      </c>
    </row>
    <row r="158" customFormat="false" ht="15" hidden="false" customHeight="false" outlineLevel="0" collapsed="false">
      <c r="A158" s="30" t="n">
        <v>46149</v>
      </c>
      <c r="B158" s="31" t="s">
        <v>99</v>
      </c>
      <c r="C158" s="32" t="n">
        <v>256.42</v>
      </c>
      <c r="D158" s="31" t="s">
        <v>99</v>
      </c>
      <c r="E158" s="33" t="str">
        <f aca="false">IFERROR(INDEX(tCategories[Type],MATCH(tTransactions[[#This Row],[Category]],tCategories[Category],0)),"Unknown category")</f>
        <v>Expense</v>
      </c>
      <c r="F158" s="34" t="n">
        <f aca="false">MONTH(tTransactions[[#This Row],[Date]])</f>
        <v>5</v>
      </c>
      <c r="G158" s="34" t="n">
        <f aca="false">YEAR(tTransactions[[#This Row],[Date]])</f>
        <v>2026</v>
      </c>
    </row>
    <row r="159" customFormat="false" ht="15" hidden="false" customHeight="false" outlineLevel="0" collapsed="false">
      <c r="A159" s="30" t="n">
        <v>46150</v>
      </c>
      <c r="B159" s="31" t="s">
        <v>77</v>
      </c>
      <c r="C159" s="32" t="n">
        <v>138.88</v>
      </c>
      <c r="D159" s="31" t="s">
        <v>78</v>
      </c>
      <c r="E159" s="33" t="str">
        <f aca="false">IFERROR(INDEX(tCategories[Type],MATCH(tTransactions[[#This Row],[Category]],tCategories[Category],0)),"Unknown category")</f>
        <v>Expense</v>
      </c>
      <c r="F159" s="34" t="n">
        <f aca="false">MONTH(tTransactions[[#This Row],[Date]])</f>
        <v>5</v>
      </c>
      <c r="G159" s="34" t="n">
        <f aca="false">YEAR(tTransactions[[#This Row],[Date]])</f>
        <v>2026</v>
      </c>
    </row>
    <row r="160" customFormat="false" ht="15" hidden="false" customHeight="false" outlineLevel="0" collapsed="false">
      <c r="A160" s="30" t="n">
        <v>46151</v>
      </c>
      <c r="B160" s="31" t="s">
        <v>77</v>
      </c>
      <c r="C160" s="32" t="n">
        <v>123.19</v>
      </c>
      <c r="D160" s="31" t="s">
        <v>95</v>
      </c>
      <c r="E160" s="33" t="str">
        <f aca="false">IFERROR(INDEX(tCategories[Type],MATCH(tTransactions[[#This Row],[Category]],tCategories[Category],0)),"Unknown category")</f>
        <v>Expense</v>
      </c>
      <c r="F160" s="34" t="n">
        <f aca="false">MONTH(tTransactions[[#This Row],[Date]])</f>
        <v>5</v>
      </c>
      <c r="G160" s="34" t="n">
        <f aca="false">YEAR(tTransactions[[#This Row],[Date]])</f>
        <v>2026</v>
      </c>
    </row>
    <row r="161" customFormat="false" ht="15" hidden="false" customHeight="false" outlineLevel="0" collapsed="false">
      <c r="A161" s="30" t="n">
        <v>46152</v>
      </c>
      <c r="B161" s="31" t="s">
        <v>89</v>
      </c>
      <c r="C161" s="32" t="n">
        <v>7650</v>
      </c>
      <c r="D161" s="31" t="s">
        <v>90</v>
      </c>
      <c r="E161" s="33" t="str">
        <f aca="false">IFERROR(INDEX(tCategories[Type],MATCH(tTransactions[[#This Row],[Category]],tCategories[Category],0)),"Unknown category")</f>
        <v>Income</v>
      </c>
      <c r="F161" s="34" t="n">
        <f aca="false">MONTH(tTransactions[[#This Row],[Date]])</f>
        <v>5</v>
      </c>
      <c r="G161" s="34" t="n">
        <f aca="false">YEAR(tTransactions[[#This Row],[Date]])</f>
        <v>2026</v>
      </c>
    </row>
    <row r="162" customFormat="false" ht="15" hidden="false" customHeight="false" outlineLevel="0" collapsed="false">
      <c r="A162" s="30" t="n">
        <v>46153</v>
      </c>
      <c r="B162" s="31" t="s">
        <v>62</v>
      </c>
      <c r="C162" s="32" t="n">
        <v>1500</v>
      </c>
      <c r="D162" s="31" t="s">
        <v>91</v>
      </c>
      <c r="E162" s="33" t="str">
        <f aca="false">IFERROR(INDEX(tCategories[Type],MATCH(tTransactions[[#This Row],[Category]],tCategories[Category],0)),"Unknown category")</f>
        <v>Investment</v>
      </c>
      <c r="F162" s="34" t="n">
        <f aca="false">MONTH(tTransactions[[#This Row],[Date]])</f>
        <v>5</v>
      </c>
      <c r="G162" s="34" t="n">
        <f aca="false">YEAR(tTransactions[[#This Row],[Date]])</f>
        <v>2026</v>
      </c>
    </row>
    <row r="163" customFormat="false" ht="15" hidden="false" customHeight="false" outlineLevel="0" collapsed="false">
      <c r="A163" s="30" t="n">
        <v>46153</v>
      </c>
      <c r="B163" s="31" t="s">
        <v>77</v>
      </c>
      <c r="C163" s="32" t="n">
        <v>62.73</v>
      </c>
      <c r="D163" s="31" t="s">
        <v>78</v>
      </c>
      <c r="E163" s="33" t="str">
        <f aca="false">IFERROR(INDEX(tCategories[Type],MATCH(tTransactions[[#This Row],[Category]],tCategories[Category],0)),"Unknown category")</f>
        <v>Expense</v>
      </c>
      <c r="F163" s="34" t="n">
        <f aca="false">MONTH(tTransactions[[#This Row],[Date]])</f>
        <v>5</v>
      </c>
      <c r="G163" s="34" t="n">
        <f aca="false">YEAR(tTransactions[[#This Row],[Date]])</f>
        <v>2026</v>
      </c>
    </row>
    <row r="164" customFormat="false" ht="15" hidden="false" customHeight="false" outlineLevel="0" collapsed="false">
      <c r="A164" s="30" t="n">
        <v>46153</v>
      </c>
      <c r="B164" s="31" t="s">
        <v>82</v>
      </c>
      <c r="C164" s="32" t="n">
        <v>216.32</v>
      </c>
      <c r="D164" s="31" t="s">
        <v>83</v>
      </c>
      <c r="E164" s="33" t="str">
        <f aca="false">IFERROR(INDEX(tCategories[Type],MATCH(tTransactions[[#This Row],[Category]],tCategories[Category],0)),"Unknown category")</f>
        <v>Expense</v>
      </c>
      <c r="F164" s="34" t="n">
        <f aca="false">MONTH(tTransactions[[#This Row],[Date]])</f>
        <v>5</v>
      </c>
      <c r="G164" s="34" t="n">
        <f aca="false">YEAR(tTransactions[[#This Row],[Date]])</f>
        <v>2026</v>
      </c>
    </row>
    <row r="165" customFormat="false" ht="15" hidden="false" customHeight="false" outlineLevel="0" collapsed="false">
      <c r="A165" s="30" t="n">
        <v>46153</v>
      </c>
      <c r="B165" s="31" t="s">
        <v>87</v>
      </c>
      <c r="C165" s="32" t="n">
        <v>238.64</v>
      </c>
      <c r="D165" s="31" t="s">
        <v>101</v>
      </c>
      <c r="E165" s="33" t="str">
        <f aca="false">IFERROR(INDEX(tCategories[Type],MATCH(tTransactions[[#This Row],[Category]],tCategories[Category],0)),"Unknown category")</f>
        <v>Expense</v>
      </c>
      <c r="F165" s="34" t="n">
        <f aca="false">MONTH(tTransactions[[#This Row],[Date]])</f>
        <v>5</v>
      </c>
      <c r="G165" s="34" t="n">
        <f aca="false">YEAR(tTransactions[[#This Row],[Date]])</f>
        <v>2026</v>
      </c>
    </row>
    <row r="166" customFormat="false" ht="15" hidden="false" customHeight="false" outlineLevel="0" collapsed="false">
      <c r="A166" s="30" t="n">
        <v>46153</v>
      </c>
      <c r="B166" s="31" t="s">
        <v>79</v>
      </c>
      <c r="C166" s="32" t="n">
        <v>545.93</v>
      </c>
      <c r="D166" s="31" t="s">
        <v>80</v>
      </c>
      <c r="E166" s="33" t="str">
        <f aca="false">IFERROR(INDEX(tCategories[Type],MATCH(tTransactions[[#This Row],[Category]],tCategories[Category],0)),"Unknown category")</f>
        <v>Income</v>
      </c>
      <c r="F166" s="34" t="n">
        <f aca="false">MONTH(tTransactions[[#This Row],[Date]])</f>
        <v>5</v>
      </c>
      <c r="G166" s="34" t="n">
        <f aca="false">YEAR(tTransactions[[#This Row],[Date]])</f>
        <v>2026</v>
      </c>
    </row>
    <row r="167" customFormat="false" ht="15" hidden="false" customHeight="false" outlineLevel="0" collapsed="false">
      <c r="A167" s="30" t="n">
        <v>46154</v>
      </c>
      <c r="B167" s="31" t="s">
        <v>92</v>
      </c>
      <c r="C167" s="32" t="n">
        <v>900</v>
      </c>
      <c r="D167" s="31" t="s">
        <v>93</v>
      </c>
      <c r="E167" s="33" t="str">
        <f aca="false">IFERROR(INDEX(tCategories[Type],MATCH(tTransactions[[#This Row],[Category]],tCategories[Category],0)),"Unknown category")</f>
        <v>Loan payment</v>
      </c>
      <c r="F167" s="34" t="n">
        <f aca="false">MONTH(tTransactions[[#This Row],[Date]])</f>
        <v>5</v>
      </c>
      <c r="G167" s="34" t="n">
        <f aca="false">YEAR(tTransactions[[#This Row],[Date]])</f>
        <v>2026</v>
      </c>
    </row>
    <row r="168" customFormat="false" ht="15" hidden="false" customHeight="false" outlineLevel="0" collapsed="false">
      <c r="A168" s="30" t="n">
        <v>46154</v>
      </c>
      <c r="B168" s="31" t="s">
        <v>77</v>
      </c>
      <c r="C168" s="32" t="n">
        <v>159.77</v>
      </c>
      <c r="D168" s="31" t="s">
        <v>81</v>
      </c>
      <c r="E168" s="33" t="str">
        <f aca="false">IFERROR(INDEX(tCategories[Type],MATCH(tTransactions[[#This Row],[Category]],tCategories[Category],0)),"Unknown category")</f>
        <v>Expense</v>
      </c>
      <c r="F168" s="34" t="n">
        <f aca="false">MONTH(tTransactions[[#This Row],[Date]])</f>
        <v>5</v>
      </c>
      <c r="G168" s="34" t="n">
        <f aca="false">YEAR(tTransactions[[#This Row],[Date]])</f>
        <v>2026</v>
      </c>
    </row>
    <row r="169" customFormat="false" ht="15" hidden="false" customHeight="false" outlineLevel="0" collapsed="false">
      <c r="A169" s="30" t="n">
        <v>46155</v>
      </c>
      <c r="B169" s="31" t="s">
        <v>77</v>
      </c>
      <c r="C169" s="32" t="n">
        <v>51.99</v>
      </c>
      <c r="D169" s="31" t="s">
        <v>81</v>
      </c>
      <c r="E169" s="33" t="str">
        <f aca="false">IFERROR(INDEX(tCategories[Type],MATCH(tTransactions[[#This Row],[Category]],tCategories[Category],0)),"Unknown category")</f>
        <v>Expense</v>
      </c>
      <c r="F169" s="34" t="n">
        <f aca="false">MONTH(tTransactions[[#This Row],[Date]])</f>
        <v>5</v>
      </c>
      <c r="G169" s="34" t="n">
        <f aca="false">YEAR(tTransactions[[#This Row],[Date]])</f>
        <v>2026</v>
      </c>
    </row>
    <row r="170" customFormat="false" ht="15" hidden="false" customHeight="false" outlineLevel="0" collapsed="false">
      <c r="A170" s="30" t="n">
        <v>46156</v>
      </c>
      <c r="B170" s="31" t="s">
        <v>77</v>
      </c>
      <c r="C170" s="32" t="n">
        <v>31.78</v>
      </c>
      <c r="D170" s="31"/>
      <c r="E170" s="33" t="str">
        <f aca="false">IFERROR(INDEX(tCategories[Type],MATCH(tTransactions[[#This Row],[Category]],tCategories[Category],0)),"Unknown category")</f>
        <v>Expense</v>
      </c>
      <c r="F170" s="34" t="n">
        <f aca="false">MONTH(tTransactions[[#This Row],[Date]])</f>
        <v>5</v>
      </c>
      <c r="G170" s="34" t="n">
        <f aca="false">YEAR(tTransactions[[#This Row],[Date]])</f>
        <v>2026</v>
      </c>
    </row>
    <row r="171" customFormat="false" ht="15" hidden="false" customHeight="false" outlineLevel="0" collapsed="false">
      <c r="A171" s="30" t="n">
        <v>46157</v>
      </c>
      <c r="B171" s="31" t="s">
        <v>75</v>
      </c>
      <c r="C171" s="32" t="n">
        <v>462</v>
      </c>
      <c r="D171" s="31" t="s">
        <v>94</v>
      </c>
      <c r="E171" s="33" t="str">
        <f aca="false">IFERROR(INDEX(tCategories[Type],MATCH(tTransactions[[#This Row],[Category]],tCategories[Category],0)),"Unknown category")</f>
        <v>Expense</v>
      </c>
      <c r="F171" s="34" t="n">
        <f aca="false">MONTH(tTransactions[[#This Row],[Date]])</f>
        <v>5</v>
      </c>
      <c r="G171" s="34" t="n">
        <f aca="false">YEAR(tTransactions[[#This Row],[Date]])</f>
        <v>2026</v>
      </c>
    </row>
    <row r="172" customFormat="false" ht="15" hidden="false" customHeight="false" outlineLevel="0" collapsed="false">
      <c r="A172" s="30" t="n">
        <v>46157</v>
      </c>
      <c r="B172" s="31" t="s">
        <v>77</v>
      </c>
      <c r="C172" s="32" t="n">
        <v>118.09</v>
      </c>
      <c r="D172" s="31" t="s">
        <v>78</v>
      </c>
      <c r="E172" s="33" t="str">
        <f aca="false">IFERROR(INDEX(tCategories[Type],MATCH(tTransactions[[#This Row],[Category]],tCategories[Category],0)),"Unknown category")</f>
        <v>Expense</v>
      </c>
      <c r="F172" s="34" t="n">
        <f aca="false">MONTH(tTransactions[[#This Row],[Date]])</f>
        <v>5</v>
      </c>
      <c r="G172" s="34" t="n">
        <f aca="false">YEAR(tTransactions[[#This Row],[Date]])</f>
        <v>2026</v>
      </c>
    </row>
    <row r="173" customFormat="false" ht="15" hidden="false" customHeight="false" outlineLevel="0" collapsed="false">
      <c r="A173" s="30" t="n">
        <v>46158</v>
      </c>
      <c r="B173" s="31" t="s">
        <v>77</v>
      </c>
      <c r="C173" s="32" t="n">
        <v>115.3</v>
      </c>
      <c r="D173" s="31" t="s">
        <v>81</v>
      </c>
      <c r="E173" s="33" t="str">
        <f aca="false">IFERROR(INDEX(tCategories[Type],MATCH(tTransactions[[#This Row],[Category]],tCategories[Category],0)),"Unknown category")</f>
        <v>Expense</v>
      </c>
      <c r="F173" s="34" t="n">
        <f aca="false">MONTH(tTransactions[[#This Row],[Date]])</f>
        <v>5</v>
      </c>
      <c r="G173" s="34" t="n">
        <f aca="false">YEAR(tTransactions[[#This Row],[Date]])</f>
        <v>2026</v>
      </c>
    </row>
    <row r="174" customFormat="false" ht="15" hidden="false" customHeight="false" outlineLevel="0" collapsed="false">
      <c r="A174" s="30" t="n">
        <v>46159</v>
      </c>
      <c r="B174" s="31" t="s">
        <v>77</v>
      </c>
      <c r="C174" s="32" t="n">
        <v>98.93</v>
      </c>
      <c r="D174" s="31" t="s">
        <v>95</v>
      </c>
      <c r="E174" s="33" t="str">
        <f aca="false">IFERROR(INDEX(tCategories[Type],MATCH(tTransactions[[#This Row],[Category]],tCategories[Category],0)),"Unknown category")</f>
        <v>Expense</v>
      </c>
      <c r="F174" s="34" t="n">
        <f aca="false">MONTH(tTransactions[[#This Row],[Date]])</f>
        <v>5</v>
      </c>
      <c r="G174" s="34" t="n">
        <f aca="false">YEAR(tTransactions[[#This Row],[Date]])</f>
        <v>2026</v>
      </c>
    </row>
    <row r="175" customFormat="false" ht="15" hidden="false" customHeight="false" outlineLevel="0" collapsed="false">
      <c r="A175" s="30" t="n">
        <v>46160</v>
      </c>
      <c r="B175" s="31" t="s">
        <v>82</v>
      </c>
      <c r="C175" s="32" t="n">
        <v>239.15</v>
      </c>
      <c r="D175" s="31" t="s">
        <v>83</v>
      </c>
      <c r="E175" s="33" t="str">
        <f aca="false">IFERROR(INDEX(tCategories[Type],MATCH(tTransactions[[#This Row],[Category]],tCategories[Category],0)),"Unknown category")</f>
        <v>Expense</v>
      </c>
      <c r="F175" s="34" t="n">
        <f aca="false">MONTH(tTransactions[[#This Row],[Date]])</f>
        <v>5</v>
      </c>
      <c r="G175" s="34" t="n">
        <f aca="false">YEAR(tTransactions[[#This Row],[Date]])</f>
        <v>2026</v>
      </c>
    </row>
    <row r="176" customFormat="false" ht="15" hidden="false" customHeight="false" outlineLevel="0" collapsed="false">
      <c r="A176" s="30" t="n">
        <v>46162</v>
      </c>
      <c r="B176" s="31" t="s">
        <v>77</v>
      </c>
      <c r="C176" s="32" t="n">
        <v>89.81</v>
      </c>
      <c r="D176" s="31" t="s">
        <v>95</v>
      </c>
      <c r="E176" s="33" t="str">
        <f aca="false">IFERROR(INDEX(tCategories[Type],MATCH(tTransactions[[#This Row],[Category]],tCategories[Category],0)),"Unknown category")</f>
        <v>Expense</v>
      </c>
      <c r="F176" s="34" t="n">
        <f aca="false">MONTH(tTransactions[[#This Row],[Date]])</f>
        <v>5</v>
      </c>
      <c r="G176" s="34" t="n">
        <f aca="false">YEAR(tTransactions[[#This Row],[Date]])</f>
        <v>2026</v>
      </c>
    </row>
    <row r="177" customFormat="false" ht="15" hidden="false" customHeight="false" outlineLevel="0" collapsed="false">
      <c r="A177" s="30" t="n">
        <v>46162</v>
      </c>
      <c r="B177" s="31" t="s">
        <v>87</v>
      </c>
      <c r="C177" s="32" t="n">
        <v>93.02</v>
      </c>
      <c r="D177" s="31" t="s">
        <v>105</v>
      </c>
      <c r="E177" s="33" t="str">
        <f aca="false">IFERROR(INDEX(tCategories[Type],MATCH(tTransactions[[#This Row],[Category]],tCategories[Category],0)),"Unknown category")</f>
        <v>Expense</v>
      </c>
      <c r="F177" s="34" t="n">
        <f aca="false">MONTH(tTransactions[[#This Row],[Date]])</f>
        <v>5</v>
      </c>
      <c r="G177" s="34" t="n">
        <f aca="false">YEAR(tTransactions[[#This Row],[Date]])</f>
        <v>2026</v>
      </c>
    </row>
    <row r="178" customFormat="false" ht="15" hidden="false" customHeight="false" outlineLevel="0" collapsed="false">
      <c r="A178" s="30" t="n">
        <v>46162</v>
      </c>
      <c r="B178" s="31" t="s">
        <v>96</v>
      </c>
      <c r="C178" s="32" t="n">
        <v>90</v>
      </c>
      <c r="D178" s="31" t="s">
        <v>97</v>
      </c>
      <c r="E178" s="33" t="str">
        <f aca="false">IFERROR(INDEX(tCategories[Type],MATCH(tTransactions[[#This Row],[Category]],tCategories[Category],0)),"Unknown category")</f>
        <v>Expense</v>
      </c>
      <c r="F178" s="34" t="n">
        <f aca="false">MONTH(tTransactions[[#This Row],[Date]])</f>
        <v>5</v>
      </c>
      <c r="G178" s="34" t="n">
        <f aca="false">YEAR(tTransactions[[#This Row],[Date]])</f>
        <v>2026</v>
      </c>
    </row>
    <row r="179" customFormat="false" ht="15" hidden="false" customHeight="false" outlineLevel="0" collapsed="false">
      <c r="A179" s="30" t="n">
        <v>46163</v>
      </c>
      <c r="B179" s="31" t="s">
        <v>77</v>
      </c>
      <c r="C179" s="32" t="n">
        <v>115.37</v>
      </c>
      <c r="D179" s="31" t="s">
        <v>78</v>
      </c>
      <c r="E179" s="33" t="str">
        <f aca="false">IFERROR(INDEX(tCategories[Type],MATCH(tTransactions[[#This Row],[Category]],tCategories[Category],0)),"Unknown category")</f>
        <v>Expense</v>
      </c>
      <c r="F179" s="34" t="n">
        <f aca="false">MONTH(tTransactions[[#This Row],[Date]])</f>
        <v>5</v>
      </c>
      <c r="G179" s="34" t="n">
        <f aca="false">YEAR(tTransactions[[#This Row],[Date]])</f>
        <v>2026</v>
      </c>
    </row>
    <row r="180" customFormat="false" ht="15" hidden="false" customHeight="false" outlineLevel="0" collapsed="false">
      <c r="A180" s="30" t="n">
        <v>46165</v>
      </c>
      <c r="B180" s="31" t="s">
        <v>77</v>
      </c>
      <c r="C180" s="32" t="n">
        <v>21.45</v>
      </c>
      <c r="D180" s="31"/>
      <c r="E180" s="33" t="str">
        <f aca="false">IFERROR(INDEX(tCategories[Type],MATCH(tTransactions[[#This Row],[Category]],tCategories[Category],0)),"Unknown category")</f>
        <v>Expense</v>
      </c>
      <c r="F180" s="34" t="n">
        <f aca="false">MONTH(tTransactions[[#This Row],[Date]])</f>
        <v>5</v>
      </c>
      <c r="G180" s="34" t="n">
        <f aca="false">YEAR(tTransactions[[#This Row],[Date]])</f>
        <v>2026</v>
      </c>
    </row>
    <row r="181" customFormat="false" ht="15" hidden="false" customHeight="false" outlineLevel="0" collapsed="false">
      <c r="A181" s="30" t="n">
        <v>46166</v>
      </c>
      <c r="B181" s="31" t="s">
        <v>77</v>
      </c>
      <c r="C181" s="32" t="n">
        <v>44.2</v>
      </c>
      <c r="D181" s="31" t="s">
        <v>78</v>
      </c>
      <c r="E181" s="33" t="str">
        <f aca="false">IFERROR(INDEX(tCategories[Type],MATCH(tTransactions[[#This Row],[Category]],tCategories[Category],0)),"Unknown category")</f>
        <v>Expense</v>
      </c>
      <c r="F181" s="34" t="n">
        <f aca="false">MONTH(tTransactions[[#This Row],[Date]])</f>
        <v>5</v>
      </c>
      <c r="G181" s="34" t="n">
        <f aca="false">YEAR(tTransactions[[#This Row],[Date]])</f>
        <v>2026</v>
      </c>
    </row>
    <row r="182" customFormat="false" ht="15" hidden="false" customHeight="false" outlineLevel="0" collapsed="false">
      <c r="A182" s="30" t="n">
        <v>46167</v>
      </c>
      <c r="B182" s="31" t="s">
        <v>77</v>
      </c>
      <c r="C182" s="32" t="n">
        <v>40.44</v>
      </c>
      <c r="D182" s="31" t="s">
        <v>95</v>
      </c>
      <c r="E182" s="33" t="str">
        <f aca="false">IFERROR(INDEX(tCategories[Type],MATCH(tTransactions[[#This Row],[Category]],tCategories[Category],0)),"Unknown category")</f>
        <v>Expense</v>
      </c>
      <c r="F182" s="34" t="n">
        <f aca="false">MONTH(tTransactions[[#This Row],[Date]])</f>
        <v>5</v>
      </c>
      <c r="G182" s="34" t="n">
        <f aca="false">YEAR(tTransactions[[#This Row],[Date]])</f>
        <v>2026</v>
      </c>
    </row>
    <row r="183" customFormat="false" ht="15" hidden="false" customHeight="false" outlineLevel="0" collapsed="false">
      <c r="A183" s="30" t="n">
        <v>46167</v>
      </c>
      <c r="B183" s="31" t="s">
        <v>82</v>
      </c>
      <c r="C183" s="32" t="n">
        <v>212.42</v>
      </c>
      <c r="D183" s="31" t="s">
        <v>83</v>
      </c>
      <c r="E183" s="33" t="str">
        <f aca="false">IFERROR(INDEX(tCategories[Type],MATCH(tTransactions[[#This Row],[Category]],tCategories[Category],0)),"Unknown category")</f>
        <v>Expense</v>
      </c>
      <c r="F183" s="34" t="n">
        <f aca="false">MONTH(tTransactions[[#This Row],[Date]])</f>
        <v>5</v>
      </c>
      <c r="G183" s="34" t="n">
        <f aca="false">YEAR(tTransactions[[#This Row],[Date]])</f>
        <v>2026</v>
      </c>
    </row>
    <row r="184" customFormat="false" ht="15" hidden="false" customHeight="false" outlineLevel="0" collapsed="false">
      <c r="A184" s="30" t="n">
        <v>46168</v>
      </c>
      <c r="B184" s="31" t="s">
        <v>84</v>
      </c>
      <c r="C184" s="32" t="n">
        <v>174.86</v>
      </c>
      <c r="D184" s="31" t="s">
        <v>98</v>
      </c>
      <c r="E184" s="33" t="str">
        <f aca="false">IFERROR(INDEX(tCategories[Type],MATCH(tTransactions[[#This Row],[Category]],tCategories[Category],0)),"Unknown category")</f>
        <v>Expense</v>
      </c>
      <c r="F184" s="34" t="n">
        <f aca="false">MONTH(tTransactions[[#This Row],[Date]])</f>
        <v>5</v>
      </c>
      <c r="G184" s="34" t="n">
        <f aca="false">YEAR(tTransactions[[#This Row],[Date]])</f>
        <v>2026</v>
      </c>
    </row>
    <row r="185" customFormat="false" ht="15" hidden="false" customHeight="false" outlineLevel="0" collapsed="false">
      <c r="A185" s="30" t="n">
        <v>46169</v>
      </c>
      <c r="B185" s="31" t="s">
        <v>77</v>
      </c>
      <c r="C185" s="32" t="n">
        <v>26.8</v>
      </c>
      <c r="D185" s="31"/>
      <c r="E185" s="33" t="str">
        <f aca="false">IFERROR(INDEX(tCategories[Type],MATCH(tTransactions[[#This Row],[Category]],tCategories[Category],0)),"Unknown category")</f>
        <v>Expense</v>
      </c>
      <c r="F185" s="34" t="n">
        <f aca="false">MONTH(tTransactions[[#This Row],[Date]])</f>
        <v>5</v>
      </c>
      <c r="G185" s="34" t="n">
        <f aca="false">YEAR(tTransactions[[#This Row],[Date]])</f>
        <v>2026</v>
      </c>
    </row>
    <row r="186" customFormat="false" ht="15" hidden="false" customHeight="false" outlineLevel="0" collapsed="false">
      <c r="A186" s="30" t="n">
        <v>46170</v>
      </c>
      <c r="B186" s="31" t="s">
        <v>77</v>
      </c>
      <c r="C186" s="32" t="n">
        <v>31.73</v>
      </c>
      <c r="D186" s="31"/>
      <c r="E186" s="33" t="str">
        <f aca="false">IFERROR(INDEX(tCategories[Type],MATCH(tTransactions[[#This Row],[Category]],tCategories[Category],0)),"Unknown category")</f>
        <v>Expense</v>
      </c>
      <c r="F186" s="34" t="n">
        <f aca="false">MONTH(tTransactions[[#This Row],[Date]])</f>
        <v>5</v>
      </c>
      <c r="G186" s="34" t="n">
        <f aca="false">YEAR(tTransactions[[#This Row],[Date]])</f>
        <v>2026</v>
      </c>
    </row>
    <row r="187" customFormat="false" ht="15" hidden="false" customHeight="false" outlineLevel="0" collapsed="false">
      <c r="A187" s="30" t="n">
        <v>46171</v>
      </c>
      <c r="B187" s="31" t="s">
        <v>77</v>
      </c>
      <c r="C187" s="32" t="n">
        <v>91.17</v>
      </c>
      <c r="D187" s="31"/>
      <c r="E187" s="33" t="str">
        <f aca="false">IFERROR(INDEX(tCategories[Type],MATCH(tTransactions[[#This Row],[Category]],tCategories[Category],0)),"Unknown category")</f>
        <v>Expense</v>
      </c>
      <c r="F187" s="34" t="n">
        <f aca="false">MONTH(tTransactions[[#This Row],[Date]])</f>
        <v>5</v>
      </c>
      <c r="G187" s="34" t="n">
        <f aca="false">YEAR(tTransactions[[#This Row],[Date]])</f>
        <v>2026</v>
      </c>
    </row>
    <row r="188" customFormat="false" ht="15" hidden="false" customHeight="false" outlineLevel="0" collapsed="false">
      <c r="A188" s="30" t="n">
        <v>46172</v>
      </c>
      <c r="B188" s="31" t="s">
        <v>77</v>
      </c>
      <c r="C188" s="32" t="n">
        <v>70.99</v>
      </c>
      <c r="D188" s="31" t="s">
        <v>81</v>
      </c>
      <c r="E188" s="33" t="str">
        <f aca="false">IFERROR(INDEX(tCategories[Type],MATCH(tTransactions[[#This Row],[Category]],tCategories[Category],0)),"Unknown category")</f>
        <v>Expense</v>
      </c>
      <c r="F188" s="34" t="n">
        <f aca="false">MONTH(tTransactions[[#This Row],[Date]])</f>
        <v>5</v>
      </c>
      <c r="G188" s="34" t="n">
        <f aca="false">YEAR(tTransactions[[#This Row],[Date]])</f>
        <v>2026</v>
      </c>
    </row>
    <row r="189" customFormat="false" ht="15" hidden="false" customHeight="false" outlineLevel="0" collapsed="false">
      <c r="A189" s="30" t="n">
        <v>46172</v>
      </c>
      <c r="B189" s="31" t="s">
        <v>84</v>
      </c>
      <c r="C189" s="32" t="n">
        <v>52.09</v>
      </c>
      <c r="D189" s="31" t="s">
        <v>85</v>
      </c>
      <c r="E189" s="33" t="str">
        <f aca="false">IFERROR(INDEX(tCategories[Type],MATCH(tTransactions[[#This Row],[Category]],tCategories[Category],0)),"Unknown category")</f>
        <v>Expense</v>
      </c>
      <c r="F189" s="34" t="n">
        <f aca="false">MONTH(tTransactions[[#This Row],[Date]])</f>
        <v>5</v>
      </c>
      <c r="G189" s="34" t="n">
        <f aca="false">YEAR(tTransactions[[#This Row],[Date]])</f>
        <v>2026</v>
      </c>
    </row>
    <row r="190" customFormat="false" ht="15" hidden="false" customHeight="false" outlineLevel="0" collapsed="false">
      <c r="A190" s="30" t="n">
        <v>46174</v>
      </c>
      <c r="B190" s="31" t="s">
        <v>75</v>
      </c>
      <c r="C190" s="32" t="n">
        <v>2200</v>
      </c>
      <c r="D190" s="31" t="s">
        <v>76</v>
      </c>
      <c r="E190" s="33" t="str">
        <f aca="false">IFERROR(INDEX(tCategories[Type],MATCH(tTransactions[[#This Row],[Category]],tCategories[Category],0)),"Unknown category")</f>
        <v>Expense</v>
      </c>
      <c r="F190" s="34" t="n">
        <f aca="false">MONTH(tTransactions[[#This Row],[Date]])</f>
        <v>6</v>
      </c>
      <c r="G190" s="34" t="n">
        <f aca="false">YEAR(tTransactions[[#This Row],[Date]])</f>
        <v>2026</v>
      </c>
    </row>
    <row r="191" customFormat="false" ht="15" hidden="false" customHeight="false" outlineLevel="0" collapsed="false">
      <c r="A191" s="30" t="n">
        <v>46174</v>
      </c>
      <c r="B191" s="31" t="s">
        <v>77</v>
      </c>
      <c r="C191" s="32" t="n">
        <v>120.61</v>
      </c>
      <c r="D191" s="31" t="s">
        <v>81</v>
      </c>
      <c r="E191" s="33" t="str">
        <f aca="false">IFERROR(INDEX(tCategories[Type],MATCH(tTransactions[[#This Row],[Category]],tCategories[Category],0)),"Unknown category")</f>
        <v>Expense</v>
      </c>
      <c r="F191" s="34" t="n">
        <f aca="false">MONTH(tTransactions[[#This Row],[Date]])</f>
        <v>6</v>
      </c>
      <c r="G191" s="34" t="n">
        <f aca="false">YEAR(tTransactions[[#This Row],[Date]])</f>
        <v>2026</v>
      </c>
    </row>
    <row r="192" customFormat="false" ht="15" hidden="false" customHeight="false" outlineLevel="0" collapsed="false">
      <c r="A192" s="30" t="n">
        <v>46176</v>
      </c>
      <c r="B192" s="31" t="s">
        <v>77</v>
      </c>
      <c r="C192" s="32" t="n">
        <v>32.32</v>
      </c>
      <c r="D192" s="31" t="s">
        <v>95</v>
      </c>
      <c r="E192" s="33" t="str">
        <f aca="false">IFERROR(INDEX(tCategories[Type],MATCH(tTransactions[[#This Row],[Category]],tCategories[Category],0)),"Unknown category")</f>
        <v>Expense</v>
      </c>
      <c r="F192" s="34" t="n">
        <f aca="false">MONTH(tTransactions[[#This Row],[Date]])</f>
        <v>6</v>
      </c>
      <c r="G192" s="34" t="n">
        <f aca="false">YEAR(tTransactions[[#This Row],[Date]])</f>
        <v>2026</v>
      </c>
    </row>
    <row r="193" customFormat="false" ht="15" hidden="false" customHeight="false" outlineLevel="0" collapsed="false">
      <c r="A193" s="30" t="n">
        <v>46177</v>
      </c>
      <c r="B193" s="31" t="s">
        <v>82</v>
      </c>
      <c r="C193" s="32" t="n">
        <v>202.68</v>
      </c>
      <c r="D193" s="31" t="s">
        <v>83</v>
      </c>
      <c r="E193" s="33" t="str">
        <f aca="false">IFERROR(INDEX(tCategories[Type],MATCH(tTransactions[[#This Row],[Category]],tCategories[Category],0)),"Unknown category")</f>
        <v>Expense</v>
      </c>
      <c r="F193" s="34" t="n">
        <f aca="false">MONTH(tTransactions[[#This Row],[Date]])</f>
        <v>6</v>
      </c>
      <c r="G193" s="34" t="n">
        <f aca="false">YEAR(tTransactions[[#This Row],[Date]])</f>
        <v>2026</v>
      </c>
    </row>
    <row r="194" customFormat="false" ht="15" hidden="false" customHeight="false" outlineLevel="0" collapsed="false">
      <c r="A194" s="30" t="n">
        <v>46179</v>
      </c>
      <c r="B194" s="31" t="s">
        <v>77</v>
      </c>
      <c r="C194" s="32" t="n">
        <v>56.76</v>
      </c>
      <c r="D194" s="31" t="s">
        <v>95</v>
      </c>
      <c r="E194" s="33" t="str">
        <f aca="false">IFERROR(INDEX(tCategories[Type],MATCH(tTransactions[[#This Row],[Category]],tCategories[Category],0)),"Unknown category")</f>
        <v>Expense</v>
      </c>
      <c r="F194" s="34" t="n">
        <f aca="false">MONTH(tTransactions[[#This Row],[Date]])</f>
        <v>6</v>
      </c>
      <c r="G194" s="34" t="n">
        <f aca="false">YEAR(tTransactions[[#This Row],[Date]])</f>
        <v>2026</v>
      </c>
    </row>
    <row r="195" customFormat="false" ht="15" hidden="false" customHeight="false" outlineLevel="0" collapsed="false">
      <c r="A195" s="30" t="n">
        <v>46180</v>
      </c>
      <c r="B195" s="31" t="s">
        <v>77</v>
      </c>
      <c r="C195" s="32" t="n">
        <v>111.69</v>
      </c>
      <c r="D195" s="31" t="s">
        <v>78</v>
      </c>
      <c r="E195" s="33" t="str">
        <f aca="false">IFERROR(INDEX(tCategories[Type],MATCH(tTransactions[[#This Row],[Category]],tCategories[Category],0)),"Unknown category")</f>
        <v>Expense</v>
      </c>
      <c r="F195" s="34" t="n">
        <f aca="false">MONTH(tTransactions[[#This Row],[Date]])</f>
        <v>6</v>
      </c>
      <c r="G195" s="34" t="n">
        <f aca="false">YEAR(tTransactions[[#This Row],[Date]])</f>
        <v>2026</v>
      </c>
    </row>
    <row r="196" customFormat="false" ht="15" hidden="false" customHeight="false" outlineLevel="0" collapsed="false">
      <c r="A196" s="30" t="n">
        <v>46181</v>
      </c>
      <c r="B196" s="31" t="s">
        <v>77</v>
      </c>
      <c r="C196" s="32" t="n">
        <v>73.32</v>
      </c>
      <c r="D196" s="31"/>
      <c r="E196" s="33" t="str">
        <f aca="false">IFERROR(INDEX(tCategories[Type],MATCH(tTransactions[[#This Row],[Category]],tCategories[Category],0)),"Unknown category")</f>
        <v>Expense</v>
      </c>
      <c r="F196" s="34" t="n">
        <f aca="false">MONTH(tTransactions[[#This Row],[Date]])</f>
        <v>6</v>
      </c>
      <c r="G196" s="34" t="n">
        <f aca="false">YEAR(tTransactions[[#This Row],[Date]])</f>
        <v>2026</v>
      </c>
    </row>
    <row r="197" customFormat="false" ht="15" hidden="false" customHeight="false" outlineLevel="0" collapsed="false">
      <c r="A197" s="30" t="n">
        <v>46183</v>
      </c>
      <c r="B197" s="31" t="s">
        <v>89</v>
      </c>
      <c r="C197" s="32" t="n">
        <v>7650</v>
      </c>
      <c r="D197" s="31" t="s">
        <v>90</v>
      </c>
      <c r="E197" s="33" t="str">
        <f aca="false">IFERROR(INDEX(tCategories[Type],MATCH(tTransactions[[#This Row],[Category]],tCategories[Category],0)),"Unknown category")</f>
        <v>Income</v>
      </c>
      <c r="F197" s="34" t="n">
        <f aca="false">MONTH(tTransactions[[#This Row],[Date]])</f>
        <v>6</v>
      </c>
      <c r="G197" s="34" t="n">
        <f aca="false">YEAR(tTransactions[[#This Row],[Date]])</f>
        <v>2026</v>
      </c>
    </row>
    <row r="198" customFormat="false" ht="15" hidden="false" customHeight="false" outlineLevel="0" collapsed="false">
      <c r="A198" s="30" t="n">
        <v>46184</v>
      </c>
      <c r="B198" s="31" t="s">
        <v>62</v>
      </c>
      <c r="C198" s="32" t="n">
        <v>1000</v>
      </c>
      <c r="D198" s="31" t="s">
        <v>91</v>
      </c>
      <c r="E198" s="33" t="str">
        <f aca="false">IFERROR(INDEX(tCategories[Type],MATCH(tTransactions[[#This Row],[Category]],tCategories[Category],0)),"Unknown category")</f>
        <v>Investment</v>
      </c>
      <c r="F198" s="34" t="n">
        <f aca="false">MONTH(tTransactions[[#This Row],[Date]])</f>
        <v>6</v>
      </c>
      <c r="G198" s="34" t="n">
        <f aca="false">YEAR(tTransactions[[#This Row],[Date]])</f>
        <v>2026</v>
      </c>
    </row>
    <row r="199" customFormat="false" ht="15" hidden="false" customHeight="false" outlineLevel="0" collapsed="false">
      <c r="A199" s="30" t="n">
        <v>46184</v>
      </c>
      <c r="B199" s="31" t="s">
        <v>82</v>
      </c>
      <c r="C199" s="32" t="n">
        <v>237.33</v>
      </c>
      <c r="D199" s="31" t="s">
        <v>83</v>
      </c>
      <c r="E199" s="33" t="str">
        <f aca="false">IFERROR(INDEX(tCategories[Type],MATCH(tTransactions[[#This Row],[Category]],tCategories[Category],0)),"Unknown category")</f>
        <v>Expense</v>
      </c>
      <c r="F199" s="34" t="n">
        <f aca="false">MONTH(tTransactions[[#This Row],[Date]])</f>
        <v>6</v>
      </c>
      <c r="G199" s="34" t="n">
        <f aca="false">YEAR(tTransactions[[#This Row],[Date]])</f>
        <v>2026</v>
      </c>
    </row>
    <row r="200" customFormat="false" ht="15" hidden="false" customHeight="false" outlineLevel="0" collapsed="false">
      <c r="A200" s="30" t="n">
        <v>46184</v>
      </c>
      <c r="B200" s="31" t="s">
        <v>99</v>
      </c>
      <c r="C200" s="32" t="n">
        <v>336.96</v>
      </c>
      <c r="D200" s="31" t="s">
        <v>99</v>
      </c>
      <c r="E200" s="33" t="str">
        <f aca="false">IFERROR(INDEX(tCategories[Type],MATCH(tTransactions[[#This Row],[Category]],tCategories[Category],0)),"Unknown category")</f>
        <v>Expense</v>
      </c>
      <c r="F200" s="34" t="n">
        <f aca="false">MONTH(tTransactions[[#This Row],[Date]])</f>
        <v>6</v>
      </c>
      <c r="G200" s="34" t="n">
        <f aca="false">YEAR(tTransactions[[#This Row],[Date]])</f>
        <v>2026</v>
      </c>
    </row>
    <row r="201" customFormat="false" ht="15" hidden="false" customHeight="false" outlineLevel="0" collapsed="false">
      <c r="A201" s="30" t="n">
        <v>46185</v>
      </c>
      <c r="B201" s="31" t="s">
        <v>92</v>
      </c>
      <c r="C201" s="32" t="n">
        <v>900</v>
      </c>
      <c r="D201" s="31" t="s">
        <v>93</v>
      </c>
      <c r="E201" s="33" t="str">
        <f aca="false">IFERROR(INDEX(tCategories[Type],MATCH(tTransactions[[#This Row],[Category]],tCategories[Category],0)),"Unknown category")</f>
        <v>Loan payment</v>
      </c>
      <c r="F201" s="34" t="n">
        <f aca="false">MONTH(tTransactions[[#This Row],[Date]])</f>
        <v>6</v>
      </c>
      <c r="G201" s="34" t="n">
        <f aca="false">YEAR(tTransactions[[#This Row],[Date]])</f>
        <v>2026</v>
      </c>
    </row>
    <row r="202" customFormat="false" ht="15" hidden="false" customHeight="false" outlineLevel="0" collapsed="false">
      <c r="A202" s="30" t="n">
        <v>46186</v>
      </c>
      <c r="B202" s="31" t="s">
        <v>77</v>
      </c>
      <c r="C202" s="32" t="n">
        <v>105.39</v>
      </c>
      <c r="D202" s="31" t="s">
        <v>78</v>
      </c>
      <c r="E202" s="33" t="str">
        <f aca="false">IFERROR(INDEX(tCategories[Type],MATCH(tTransactions[[#This Row],[Category]],tCategories[Category],0)),"Unknown category")</f>
        <v>Expense</v>
      </c>
      <c r="F202" s="34" t="n">
        <f aca="false">MONTH(tTransactions[[#This Row],[Date]])</f>
        <v>6</v>
      </c>
      <c r="G202" s="34" t="n">
        <f aca="false">YEAR(tTransactions[[#This Row],[Date]])</f>
        <v>2026</v>
      </c>
    </row>
    <row r="203" customFormat="false" ht="15" hidden="false" customHeight="false" outlineLevel="0" collapsed="false">
      <c r="A203" s="30" t="n">
        <v>46187</v>
      </c>
      <c r="B203" s="31" t="s">
        <v>77</v>
      </c>
      <c r="C203" s="32" t="n">
        <v>75.02</v>
      </c>
      <c r="D203" s="31" t="s">
        <v>81</v>
      </c>
      <c r="E203" s="33" t="str">
        <f aca="false">IFERROR(INDEX(tCategories[Type],MATCH(tTransactions[[#This Row],[Category]],tCategories[Category],0)),"Unknown category")</f>
        <v>Expense</v>
      </c>
      <c r="F203" s="34" t="n">
        <f aca="false">MONTH(tTransactions[[#This Row],[Date]])</f>
        <v>6</v>
      </c>
      <c r="G203" s="34" t="n">
        <f aca="false">YEAR(tTransactions[[#This Row],[Date]])</f>
        <v>2026</v>
      </c>
    </row>
    <row r="204" customFormat="false" ht="15" hidden="false" customHeight="false" outlineLevel="0" collapsed="false">
      <c r="A204" s="30" t="n">
        <v>46187</v>
      </c>
      <c r="B204" s="31" t="s">
        <v>87</v>
      </c>
      <c r="C204" s="32" t="n">
        <v>210.93</v>
      </c>
      <c r="D204" s="31" t="s">
        <v>101</v>
      </c>
      <c r="E204" s="33" t="str">
        <f aca="false">IFERROR(INDEX(tCategories[Type],MATCH(tTransactions[[#This Row],[Category]],tCategories[Category],0)),"Unknown category")</f>
        <v>Expense</v>
      </c>
      <c r="F204" s="34" t="n">
        <f aca="false">MONTH(tTransactions[[#This Row],[Date]])</f>
        <v>6</v>
      </c>
      <c r="G204" s="34" t="n">
        <f aca="false">YEAR(tTransactions[[#This Row],[Date]])</f>
        <v>2026</v>
      </c>
    </row>
    <row r="205" customFormat="false" ht="15" hidden="false" customHeight="false" outlineLevel="0" collapsed="false">
      <c r="A205" s="30" t="n">
        <v>46188</v>
      </c>
      <c r="B205" s="31" t="s">
        <v>75</v>
      </c>
      <c r="C205" s="32" t="n">
        <v>490</v>
      </c>
      <c r="D205" s="31" t="s">
        <v>94</v>
      </c>
      <c r="E205" s="33" t="str">
        <f aca="false">IFERROR(INDEX(tCategories[Type],MATCH(tTransactions[[#This Row],[Category]],tCategories[Category],0)),"Unknown category")</f>
        <v>Expense</v>
      </c>
      <c r="F205" s="34" t="n">
        <f aca="false">MONTH(tTransactions[[#This Row],[Date]])</f>
        <v>6</v>
      </c>
      <c r="G205" s="34" t="n">
        <f aca="false">YEAR(tTransactions[[#This Row],[Date]])</f>
        <v>2026</v>
      </c>
    </row>
    <row r="206" customFormat="false" ht="15" hidden="false" customHeight="false" outlineLevel="0" collapsed="false">
      <c r="A206" s="30" t="n">
        <v>46190</v>
      </c>
      <c r="B206" s="31" t="s">
        <v>77</v>
      </c>
      <c r="C206" s="32" t="n">
        <v>54.72</v>
      </c>
      <c r="D206" s="31" t="s">
        <v>95</v>
      </c>
      <c r="E206" s="33" t="str">
        <f aca="false">IFERROR(INDEX(tCategories[Type],MATCH(tTransactions[[#This Row],[Category]],tCategories[Category],0)),"Unknown category")</f>
        <v>Expense</v>
      </c>
      <c r="F206" s="34" t="n">
        <f aca="false">MONTH(tTransactions[[#This Row],[Date]])</f>
        <v>6</v>
      </c>
      <c r="G206" s="34" t="n">
        <f aca="false">YEAR(tTransactions[[#This Row],[Date]])</f>
        <v>2026</v>
      </c>
    </row>
    <row r="207" customFormat="false" ht="15" hidden="false" customHeight="false" outlineLevel="0" collapsed="false">
      <c r="A207" s="30" t="n">
        <v>46191</v>
      </c>
      <c r="B207" s="31" t="s">
        <v>82</v>
      </c>
      <c r="C207" s="32" t="n">
        <v>203.68</v>
      </c>
      <c r="D207" s="31" t="s">
        <v>83</v>
      </c>
      <c r="E207" s="33" t="str">
        <f aca="false">IFERROR(INDEX(tCategories[Type],MATCH(tTransactions[[#This Row],[Category]],tCategories[Category],0)),"Unknown category")</f>
        <v>Expense</v>
      </c>
      <c r="F207" s="34" t="n">
        <f aca="false">MONTH(tTransactions[[#This Row],[Date]])</f>
        <v>6</v>
      </c>
      <c r="G207" s="34" t="n">
        <f aca="false">YEAR(tTransactions[[#This Row],[Date]])</f>
        <v>2026</v>
      </c>
    </row>
    <row r="208" customFormat="false" ht="15" hidden="false" customHeight="false" outlineLevel="0" collapsed="false">
      <c r="A208" s="30" t="n">
        <v>46192</v>
      </c>
      <c r="B208" s="31" t="s">
        <v>87</v>
      </c>
      <c r="C208" s="32" t="n">
        <v>68.55</v>
      </c>
      <c r="D208" s="31" t="s">
        <v>100</v>
      </c>
      <c r="E208" s="33" t="str">
        <f aca="false">IFERROR(INDEX(tCategories[Type],MATCH(tTransactions[[#This Row],[Category]],tCategories[Category],0)),"Unknown category")</f>
        <v>Expense</v>
      </c>
      <c r="F208" s="34" t="n">
        <f aca="false">MONTH(tTransactions[[#This Row],[Date]])</f>
        <v>6</v>
      </c>
      <c r="G208" s="34" t="n">
        <f aca="false">YEAR(tTransactions[[#This Row],[Date]])</f>
        <v>2026</v>
      </c>
    </row>
    <row r="209" customFormat="false" ht="15" hidden="false" customHeight="false" outlineLevel="0" collapsed="false">
      <c r="A209" s="30" t="n">
        <v>46192</v>
      </c>
      <c r="B209" s="31" t="s">
        <v>84</v>
      </c>
      <c r="C209" s="32" t="n">
        <v>217.87</v>
      </c>
      <c r="D209" s="31" t="s">
        <v>98</v>
      </c>
      <c r="E209" s="33" t="str">
        <f aca="false">IFERROR(INDEX(tCategories[Type],MATCH(tTransactions[[#This Row],[Category]],tCategories[Category],0)),"Unknown category")</f>
        <v>Expense</v>
      </c>
      <c r="F209" s="34" t="n">
        <f aca="false">MONTH(tTransactions[[#This Row],[Date]])</f>
        <v>6</v>
      </c>
      <c r="G209" s="34" t="n">
        <f aca="false">YEAR(tTransactions[[#This Row],[Date]])</f>
        <v>2026</v>
      </c>
    </row>
    <row r="210" customFormat="false" ht="15" hidden="false" customHeight="false" outlineLevel="0" collapsed="false">
      <c r="A210" s="30" t="n">
        <v>46193</v>
      </c>
      <c r="B210" s="31" t="s">
        <v>77</v>
      </c>
      <c r="C210" s="32" t="n">
        <v>155.33</v>
      </c>
      <c r="D210" s="31" t="s">
        <v>81</v>
      </c>
      <c r="E210" s="33" t="str">
        <f aca="false">IFERROR(INDEX(tCategories[Type],MATCH(tTransactions[[#This Row],[Category]],tCategories[Category],0)),"Unknown category")</f>
        <v>Expense</v>
      </c>
      <c r="F210" s="34" t="n">
        <f aca="false">MONTH(tTransactions[[#This Row],[Date]])</f>
        <v>6</v>
      </c>
      <c r="G210" s="34" t="n">
        <f aca="false">YEAR(tTransactions[[#This Row],[Date]])</f>
        <v>2026</v>
      </c>
    </row>
    <row r="211" customFormat="false" ht="15" hidden="false" customHeight="false" outlineLevel="0" collapsed="false">
      <c r="A211" s="30" t="n">
        <v>46193</v>
      </c>
      <c r="B211" s="31" t="s">
        <v>96</v>
      </c>
      <c r="C211" s="32" t="n">
        <v>80</v>
      </c>
      <c r="D211" s="31" t="s">
        <v>97</v>
      </c>
      <c r="E211" s="33" t="str">
        <f aca="false">IFERROR(INDEX(tCategories[Type],MATCH(tTransactions[[#This Row],[Category]],tCategories[Category],0)),"Unknown category")</f>
        <v>Expense</v>
      </c>
      <c r="F211" s="34" t="n">
        <f aca="false">MONTH(tTransactions[[#This Row],[Date]])</f>
        <v>6</v>
      </c>
      <c r="G211" s="34" t="n">
        <f aca="false">YEAR(tTransactions[[#This Row],[Date]])</f>
        <v>2026</v>
      </c>
    </row>
    <row r="212" customFormat="false" ht="15" hidden="false" customHeight="false" outlineLevel="0" collapsed="false">
      <c r="A212" s="30" t="n">
        <v>46196</v>
      </c>
      <c r="B212" s="31" t="s">
        <v>77</v>
      </c>
      <c r="C212" s="32" t="n">
        <v>102.85</v>
      </c>
      <c r="D212" s="31" t="s">
        <v>81</v>
      </c>
      <c r="E212" s="33" t="str">
        <f aca="false">IFERROR(INDEX(tCategories[Type],MATCH(tTransactions[[#This Row],[Category]],tCategories[Category],0)),"Unknown category")</f>
        <v>Expense</v>
      </c>
      <c r="F212" s="34" t="n">
        <f aca="false">MONTH(tTransactions[[#This Row],[Date]])</f>
        <v>6</v>
      </c>
      <c r="G212" s="34" t="n">
        <f aca="false">YEAR(tTransactions[[#This Row],[Date]])</f>
        <v>2026</v>
      </c>
    </row>
    <row r="213" customFormat="false" ht="15" hidden="false" customHeight="false" outlineLevel="0" collapsed="false">
      <c r="A213" s="30" t="n">
        <v>46197</v>
      </c>
      <c r="B213" s="31" t="s">
        <v>77</v>
      </c>
      <c r="C213" s="32" t="n">
        <v>151.28</v>
      </c>
      <c r="D213" s="31"/>
      <c r="E213" s="33" t="str">
        <f aca="false">IFERROR(INDEX(tCategories[Type],MATCH(tTransactions[[#This Row],[Category]],tCategories[Category],0)),"Unknown category")</f>
        <v>Expense</v>
      </c>
      <c r="F213" s="34" t="n">
        <f aca="false">MONTH(tTransactions[[#This Row],[Date]])</f>
        <v>6</v>
      </c>
      <c r="G213" s="34" t="n">
        <f aca="false">YEAR(tTransactions[[#This Row],[Date]])</f>
        <v>2026</v>
      </c>
    </row>
    <row r="214" customFormat="false" ht="15" hidden="false" customHeight="false" outlineLevel="0" collapsed="false">
      <c r="A214" s="30" t="n">
        <v>46198</v>
      </c>
      <c r="B214" s="31" t="s">
        <v>77</v>
      </c>
      <c r="C214" s="32" t="n">
        <v>42.02</v>
      </c>
      <c r="D214" s="31"/>
      <c r="E214" s="33" t="str">
        <f aca="false">IFERROR(INDEX(tCategories[Type],MATCH(tTransactions[[#This Row],[Category]],tCategories[Category],0)),"Unknown category")</f>
        <v>Expense</v>
      </c>
      <c r="F214" s="34" t="n">
        <f aca="false">MONTH(tTransactions[[#This Row],[Date]])</f>
        <v>6</v>
      </c>
      <c r="G214" s="34" t="n">
        <f aca="false">YEAR(tTransactions[[#This Row],[Date]])</f>
        <v>2026</v>
      </c>
    </row>
    <row r="215" customFormat="false" ht="15" hidden="false" customHeight="false" outlineLevel="0" collapsed="false">
      <c r="A215" s="30" t="n">
        <v>46198</v>
      </c>
      <c r="B215" s="31" t="s">
        <v>82</v>
      </c>
      <c r="C215" s="32" t="n">
        <v>181.12</v>
      </c>
      <c r="D215" s="31" t="s">
        <v>83</v>
      </c>
      <c r="E215" s="33" t="str">
        <f aca="false">IFERROR(INDEX(tCategories[Type],MATCH(tTransactions[[#This Row],[Category]],tCategories[Category],0)),"Unknown category")</f>
        <v>Expense</v>
      </c>
      <c r="F215" s="34" t="n">
        <f aca="false">MONTH(tTransactions[[#This Row],[Date]])</f>
        <v>6</v>
      </c>
      <c r="G215" s="34" t="n">
        <f aca="false">YEAR(tTransactions[[#This Row],[Date]])</f>
        <v>2026</v>
      </c>
    </row>
    <row r="216" customFormat="false" ht="15" hidden="false" customHeight="false" outlineLevel="0" collapsed="false">
      <c r="A216" s="30" t="n">
        <v>46199</v>
      </c>
      <c r="B216" s="31" t="s">
        <v>77</v>
      </c>
      <c r="C216" s="32" t="n">
        <v>102.71</v>
      </c>
      <c r="D216" s="31"/>
      <c r="E216" s="33" t="str">
        <f aca="false">IFERROR(INDEX(tCategories[Type],MATCH(tTransactions[[#This Row],[Category]],tCategories[Category],0)),"Unknown category")</f>
        <v>Expense</v>
      </c>
      <c r="F216" s="34" t="n">
        <f aca="false">MONTH(tTransactions[[#This Row],[Date]])</f>
        <v>6</v>
      </c>
      <c r="G216" s="34" t="n">
        <f aca="false">YEAR(tTransactions[[#This Row],[Date]])</f>
        <v>2026</v>
      </c>
    </row>
    <row r="217" customFormat="false" ht="15" hidden="false" customHeight="false" outlineLevel="0" collapsed="false">
      <c r="A217" s="30" t="n">
        <v>46201</v>
      </c>
      <c r="B217" s="31" t="s">
        <v>77</v>
      </c>
      <c r="C217" s="32" t="n">
        <v>92.8</v>
      </c>
      <c r="D217" s="31" t="s">
        <v>95</v>
      </c>
      <c r="E217" s="33" t="str">
        <f aca="false">IFERROR(INDEX(tCategories[Type],MATCH(tTransactions[[#This Row],[Category]],tCategories[Category],0)),"Unknown category")</f>
        <v>Expense</v>
      </c>
      <c r="F217" s="34" t="n">
        <f aca="false">MONTH(tTransactions[[#This Row],[Date]])</f>
        <v>6</v>
      </c>
      <c r="G217" s="34" t="n">
        <f aca="false">YEAR(tTransactions[[#This Row],[Date]])</f>
        <v>2026</v>
      </c>
    </row>
    <row r="218" customFormat="false" ht="15" hidden="false" customHeight="false" outlineLevel="0" collapsed="false">
      <c r="A218" s="30" t="n">
        <v>46202</v>
      </c>
      <c r="B218" s="31" t="s">
        <v>77</v>
      </c>
      <c r="C218" s="32" t="n">
        <v>58.58</v>
      </c>
      <c r="D218" s="31" t="s">
        <v>95</v>
      </c>
      <c r="E218" s="33" t="str">
        <f aca="false">IFERROR(INDEX(tCategories[Type],MATCH(tTransactions[[#This Row],[Category]],tCategories[Category],0)),"Unknown category")</f>
        <v>Expense</v>
      </c>
      <c r="F218" s="34" t="n">
        <f aca="false">MONTH(tTransactions[[#This Row],[Date]])</f>
        <v>6</v>
      </c>
      <c r="G218" s="34" t="n">
        <f aca="false">YEAR(tTransactions[[#This Row],[Date]])</f>
        <v>2026</v>
      </c>
    </row>
    <row r="219" customFormat="false" ht="15" hidden="false" customHeight="false" outlineLevel="0" collapsed="false">
      <c r="A219" s="30" t="n">
        <v>46204</v>
      </c>
      <c r="B219" s="31" t="s">
        <v>75</v>
      </c>
      <c r="C219" s="32" t="n">
        <v>2200</v>
      </c>
      <c r="D219" s="31" t="s">
        <v>76</v>
      </c>
      <c r="E219" s="33" t="str">
        <f aca="false">IFERROR(INDEX(tCategories[Type],MATCH(tTransactions[[#This Row],[Category]],tCategories[Category],0)),"Unknown category")</f>
        <v>Expense</v>
      </c>
      <c r="F219" s="34" t="n">
        <f aca="false">MONTH(tTransactions[[#This Row],[Date]])</f>
        <v>7</v>
      </c>
      <c r="G219" s="34" t="n">
        <f aca="false">YEAR(tTransactions[[#This Row],[Date]])</f>
        <v>2026</v>
      </c>
    </row>
    <row r="220" customFormat="false" ht="15" hidden="false" customHeight="false" outlineLevel="0" collapsed="false">
      <c r="A220" s="30" t="n">
        <v>46204</v>
      </c>
      <c r="B220" s="31" t="s">
        <v>77</v>
      </c>
      <c r="C220" s="32" t="n">
        <v>156.19</v>
      </c>
      <c r="D220" s="31" t="s">
        <v>78</v>
      </c>
      <c r="E220" s="33" t="str">
        <f aca="false">IFERROR(INDEX(tCategories[Type],MATCH(tTransactions[[#This Row],[Category]],tCategories[Category],0)),"Unknown category")</f>
        <v>Expense</v>
      </c>
      <c r="F220" s="34" t="n">
        <f aca="false">MONTH(tTransactions[[#This Row],[Date]])</f>
        <v>7</v>
      </c>
      <c r="G220" s="34" t="n">
        <f aca="false">YEAR(tTransactions[[#This Row],[Date]])</f>
        <v>2026</v>
      </c>
    </row>
    <row r="221" customFormat="false" ht="15" hidden="false" customHeight="false" outlineLevel="0" collapsed="false">
      <c r="A221" s="30" t="n">
        <v>46205</v>
      </c>
      <c r="B221" s="31" t="s">
        <v>77</v>
      </c>
      <c r="C221" s="32" t="n">
        <v>31.98</v>
      </c>
      <c r="D221" s="31"/>
      <c r="E221" s="33" t="str">
        <f aca="false">IFERROR(INDEX(tCategories[Type],MATCH(tTransactions[[#This Row],[Category]],tCategories[Category],0)),"Unknown category")</f>
        <v>Expense</v>
      </c>
      <c r="F221" s="34" t="n">
        <f aca="false">MONTH(tTransactions[[#This Row],[Date]])</f>
        <v>7</v>
      </c>
      <c r="G221" s="34" t="n">
        <f aca="false">YEAR(tTransactions[[#This Row],[Date]])</f>
        <v>2026</v>
      </c>
    </row>
    <row r="222" customFormat="false" ht="15" hidden="false" customHeight="false" outlineLevel="0" collapsed="false">
      <c r="A222" s="30" t="n">
        <v>46206</v>
      </c>
      <c r="B222" s="31" t="s">
        <v>77</v>
      </c>
      <c r="C222" s="32" t="n">
        <v>154.31</v>
      </c>
      <c r="D222" s="31" t="s">
        <v>78</v>
      </c>
      <c r="E222" s="33" t="str">
        <f aca="false">IFERROR(INDEX(tCategories[Type],MATCH(tTransactions[[#This Row],[Category]],tCategories[Category],0)),"Unknown category")</f>
        <v>Expense</v>
      </c>
      <c r="F222" s="34" t="n">
        <f aca="false">MONTH(tTransactions[[#This Row],[Date]])</f>
        <v>7</v>
      </c>
      <c r="G222" s="34" t="n">
        <f aca="false">YEAR(tTransactions[[#This Row],[Date]])</f>
        <v>2026</v>
      </c>
    </row>
    <row r="223" customFormat="false" ht="15" hidden="false" customHeight="false" outlineLevel="0" collapsed="false">
      <c r="A223" s="30" t="n">
        <v>46207</v>
      </c>
      <c r="B223" s="31" t="s">
        <v>82</v>
      </c>
      <c r="C223" s="32" t="n">
        <v>215.55</v>
      </c>
      <c r="D223" s="31" t="s">
        <v>83</v>
      </c>
      <c r="E223" s="33" t="str">
        <f aca="false">IFERROR(INDEX(tCategories[Type],MATCH(tTransactions[[#This Row],[Category]],tCategories[Category],0)),"Unknown category")</f>
        <v>Expense</v>
      </c>
      <c r="F223" s="34" t="n">
        <f aca="false">MONTH(tTransactions[[#This Row],[Date]])</f>
        <v>7</v>
      </c>
      <c r="G223" s="34" t="n">
        <f aca="false">YEAR(tTransactions[[#This Row],[Date]])</f>
        <v>2026</v>
      </c>
    </row>
    <row r="224" customFormat="false" ht="15" hidden="false" customHeight="false" outlineLevel="0" collapsed="false">
      <c r="A224" s="30" t="n">
        <v>46208</v>
      </c>
      <c r="B224" s="31" t="s">
        <v>77</v>
      </c>
      <c r="C224" s="32" t="n">
        <v>106.64</v>
      </c>
      <c r="D224" s="31"/>
      <c r="E224" s="33" t="str">
        <f aca="false">IFERROR(INDEX(tCategories[Type],MATCH(tTransactions[[#This Row],[Category]],tCategories[Category],0)),"Unknown category")</f>
        <v>Expense</v>
      </c>
      <c r="F224" s="34" t="n">
        <f aca="false">MONTH(tTransactions[[#This Row],[Date]])</f>
        <v>7</v>
      </c>
      <c r="G224" s="34" t="n">
        <f aca="false">YEAR(tTransactions[[#This Row],[Date]])</f>
        <v>2026</v>
      </c>
    </row>
    <row r="225" customFormat="false" ht="15" hidden="false" customHeight="false" outlineLevel="0" collapsed="false">
      <c r="A225" s="30" t="n">
        <v>46209</v>
      </c>
      <c r="B225" s="31" t="s">
        <v>77</v>
      </c>
      <c r="C225" s="32" t="n">
        <v>140.28</v>
      </c>
      <c r="D225" s="31" t="s">
        <v>95</v>
      </c>
      <c r="E225" s="33" t="str">
        <f aca="false">IFERROR(INDEX(tCategories[Type],MATCH(tTransactions[[#This Row],[Category]],tCategories[Category],0)),"Unknown category")</f>
        <v>Expense</v>
      </c>
      <c r="F225" s="34" t="n">
        <f aca="false">MONTH(tTransactions[[#This Row],[Date]])</f>
        <v>7</v>
      </c>
      <c r="G225" s="34" t="n">
        <f aca="false">YEAR(tTransactions[[#This Row],[Date]])</f>
        <v>2026</v>
      </c>
    </row>
    <row r="226" customFormat="false" ht="15" hidden="false" customHeight="false" outlineLevel="0" collapsed="false">
      <c r="A226" s="30" t="n">
        <v>46210</v>
      </c>
      <c r="B226" s="31" t="s">
        <v>77</v>
      </c>
      <c r="C226" s="32" t="n">
        <v>35.65</v>
      </c>
      <c r="D226" s="31"/>
      <c r="E226" s="33" t="str">
        <f aca="false">IFERROR(INDEX(tCategories[Type],MATCH(tTransactions[[#This Row],[Category]],tCategories[Category],0)),"Unknown category")</f>
        <v>Expense</v>
      </c>
      <c r="F226" s="34" t="n">
        <f aca="false">MONTH(tTransactions[[#This Row],[Date]])</f>
        <v>7</v>
      </c>
      <c r="G226" s="34" t="n">
        <f aca="false">YEAR(tTransactions[[#This Row],[Date]])</f>
        <v>2026</v>
      </c>
    </row>
    <row r="227" customFormat="false" ht="15" hidden="false" customHeight="false" outlineLevel="0" collapsed="false">
      <c r="A227" s="30" t="n">
        <v>46211</v>
      </c>
      <c r="B227" s="31" t="s">
        <v>77</v>
      </c>
      <c r="C227" s="32" t="n">
        <v>77.21</v>
      </c>
      <c r="D227" s="31" t="s">
        <v>95</v>
      </c>
      <c r="E227" s="33" t="str">
        <f aca="false">IFERROR(INDEX(tCategories[Type],MATCH(tTransactions[[#This Row],[Category]],tCategories[Category],0)),"Unknown category")</f>
        <v>Expense</v>
      </c>
      <c r="F227" s="34" t="n">
        <f aca="false">MONTH(tTransactions[[#This Row],[Date]])</f>
        <v>7</v>
      </c>
      <c r="G227" s="34" t="n">
        <f aca="false">YEAR(tTransactions[[#This Row],[Date]])</f>
        <v>2026</v>
      </c>
    </row>
    <row r="228" customFormat="false" ht="15" hidden="false" customHeight="false" outlineLevel="0" collapsed="false">
      <c r="A228" s="30" t="n">
        <v>46213</v>
      </c>
      <c r="B228" s="31" t="s">
        <v>89</v>
      </c>
      <c r="C228" s="32" t="n">
        <v>7400</v>
      </c>
      <c r="D228" s="31" t="s">
        <v>90</v>
      </c>
      <c r="E228" s="33" t="str">
        <f aca="false">IFERROR(INDEX(tCategories[Type],MATCH(tTransactions[[#This Row],[Category]],tCategories[Category],0)),"Unknown category")</f>
        <v>Income</v>
      </c>
      <c r="F228" s="34" t="n">
        <f aca="false">MONTH(tTransactions[[#This Row],[Date]])</f>
        <v>7</v>
      </c>
      <c r="G228" s="34" t="n">
        <f aca="false">YEAR(tTransactions[[#This Row],[Date]])</f>
        <v>2026</v>
      </c>
    </row>
    <row r="229" customFormat="false" ht="15" hidden="false" customHeight="false" outlineLevel="0" collapsed="false">
      <c r="A229" s="30" t="n">
        <v>46213</v>
      </c>
      <c r="B229" s="31" t="s">
        <v>87</v>
      </c>
      <c r="C229" s="32" t="n">
        <v>169.72</v>
      </c>
      <c r="D229" s="31" t="s">
        <v>100</v>
      </c>
      <c r="E229" s="33" t="str">
        <f aca="false">IFERROR(INDEX(tCategories[Type],MATCH(tTransactions[[#This Row],[Category]],tCategories[Category],0)),"Unknown category")</f>
        <v>Expense</v>
      </c>
      <c r="F229" s="34" t="n">
        <f aca="false">MONTH(tTransactions[[#This Row],[Date]])</f>
        <v>7</v>
      </c>
      <c r="G229" s="34" t="n">
        <f aca="false">YEAR(tTransactions[[#This Row],[Date]])</f>
        <v>2026</v>
      </c>
    </row>
    <row r="230" customFormat="false" ht="15" hidden="false" customHeight="false" outlineLevel="0" collapsed="false">
      <c r="A230" s="30" t="n">
        <v>46214</v>
      </c>
      <c r="B230" s="31" t="s">
        <v>62</v>
      </c>
      <c r="C230" s="32" t="n">
        <v>1500</v>
      </c>
      <c r="D230" s="31" t="s">
        <v>91</v>
      </c>
      <c r="E230" s="33" t="str">
        <f aca="false">IFERROR(INDEX(tCategories[Type],MATCH(tTransactions[[#This Row],[Category]],tCategories[Category],0)),"Unknown category")</f>
        <v>Investment</v>
      </c>
      <c r="F230" s="34" t="n">
        <f aca="false">MONTH(tTransactions[[#This Row],[Date]])</f>
        <v>7</v>
      </c>
      <c r="G230" s="34" t="n">
        <f aca="false">YEAR(tTransactions[[#This Row],[Date]])</f>
        <v>2026</v>
      </c>
    </row>
    <row r="231" customFormat="false" ht="15" hidden="false" customHeight="false" outlineLevel="0" collapsed="false">
      <c r="A231" s="30" t="n">
        <v>46214</v>
      </c>
      <c r="B231" s="31" t="s">
        <v>77</v>
      </c>
      <c r="C231" s="32" t="n">
        <v>123.63</v>
      </c>
      <c r="D231" s="31" t="s">
        <v>78</v>
      </c>
      <c r="E231" s="33" t="str">
        <f aca="false">IFERROR(INDEX(tCategories[Type],MATCH(tTransactions[[#This Row],[Category]],tCategories[Category],0)),"Unknown category")</f>
        <v>Expense</v>
      </c>
      <c r="F231" s="34" t="n">
        <f aca="false">MONTH(tTransactions[[#This Row],[Date]])</f>
        <v>7</v>
      </c>
      <c r="G231" s="34" t="n">
        <f aca="false">YEAR(tTransactions[[#This Row],[Date]])</f>
        <v>2026</v>
      </c>
    </row>
    <row r="232" customFormat="false" ht="15" hidden="false" customHeight="false" outlineLevel="0" collapsed="false">
      <c r="A232" s="30" t="n">
        <v>46214</v>
      </c>
      <c r="B232" s="31" t="s">
        <v>82</v>
      </c>
      <c r="C232" s="32" t="n">
        <v>239.79</v>
      </c>
      <c r="D232" s="31" t="s">
        <v>83</v>
      </c>
      <c r="E232" s="33" t="str">
        <f aca="false">IFERROR(INDEX(tCategories[Type],MATCH(tTransactions[[#This Row],[Category]],tCategories[Category],0)),"Unknown category")</f>
        <v>Expense</v>
      </c>
      <c r="F232" s="34" t="n">
        <f aca="false">MONTH(tTransactions[[#This Row],[Date]])</f>
        <v>7</v>
      </c>
      <c r="G232" s="34" t="n">
        <f aca="false">YEAR(tTransactions[[#This Row],[Date]])</f>
        <v>2026</v>
      </c>
    </row>
    <row r="233" customFormat="false" ht="15" hidden="false" customHeight="false" outlineLevel="0" collapsed="false">
      <c r="A233" s="30" t="n">
        <v>46215</v>
      </c>
      <c r="B233" s="31" t="s">
        <v>92</v>
      </c>
      <c r="C233" s="32" t="n">
        <v>900</v>
      </c>
      <c r="D233" s="31" t="s">
        <v>93</v>
      </c>
      <c r="E233" s="33" t="str">
        <f aca="false">IFERROR(INDEX(tCategories[Type],MATCH(tTransactions[[#This Row],[Category]],tCategories[Category],0)),"Unknown category")</f>
        <v>Loan payment</v>
      </c>
      <c r="F233" s="34" t="n">
        <f aca="false">MONTH(tTransactions[[#This Row],[Date]])</f>
        <v>7</v>
      </c>
      <c r="G233" s="34" t="n">
        <f aca="false">YEAR(tTransactions[[#This Row],[Date]])</f>
        <v>2026</v>
      </c>
    </row>
    <row r="234" customFormat="false" ht="15" hidden="false" customHeight="false" outlineLevel="0" collapsed="false">
      <c r="A234" s="30" t="n">
        <v>46215</v>
      </c>
      <c r="B234" s="31" t="s">
        <v>99</v>
      </c>
      <c r="C234" s="32" t="n">
        <v>281.59</v>
      </c>
      <c r="D234" s="31" t="s">
        <v>99</v>
      </c>
      <c r="E234" s="33" t="str">
        <f aca="false">IFERROR(INDEX(tCategories[Type],MATCH(tTransactions[[#This Row],[Category]],tCategories[Category],0)),"Unknown category")</f>
        <v>Expense</v>
      </c>
      <c r="F234" s="34" t="n">
        <f aca="false">MONTH(tTransactions[[#This Row],[Date]])</f>
        <v>7</v>
      </c>
      <c r="G234" s="34" t="n">
        <f aca="false">YEAR(tTransactions[[#This Row],[Date]])</f>
        <v>2026</v>
      </c>
    </row>
    <row r="235" customFormat="false" ht="15" hidden="false" customHeight="false" outlineLevel="0" collapsed="false">
      <c r="A235" s="30" t="n">
        <v>46217</v>
      </c>
      <c r="B235" s="31" t="s">
        <v>77</v>
      </c>
      <c r="C235" s="32" t="n">
        <v>34.17</v>
      </c>
      <c r="D235" s="31" t="s">
        <v>95</v>
      </c>
      <c r="E235" s="33" t="str">
        <f aca="false">IFERROR(INDEX(tCategories[Type],MATCH(tTransactions[[#This Row],[Category]],tCategories[Category],0)),"Unknown category")</f>
        <v>Expense</v>
      </c>
      <c r="F235" s="34" t="n">
        <f aca="false">MONTH(tTransactions[[#This Row],[Date]])</f>
        <v>7</v>
      </c>
      <c r="G235" s="34" t="n">
        <f aca="false">YEAR(tTransactions[[#This Row],[Date]])</f>
        <v>2026</v>
      </c>
    </row>
    <row r="236" customFormat="false" ht="15" hidden="false" customHeight="false" outlineLevel="0" collapsed="false">
      <c r="A236" s="30" t="n">
        <v>46217</v>
      </c>
      <c r="B236" s="31" t="s">
        <v>84</v>
      </c>
      <c r="C236" s="32" t="n">
        <v>137.2</v>
      </c>
      <c r="D236" s="31" t="s">
        <v>104</v>
      </c>
      <c r="E236" s="33" t="str">
        <f aca="false">IFERROR(INDEX(tCategories[Type],MATCH(tTransactions[[#This Row],[Category]],tCategories[Category],0)),"Unknown category")</f>
        <v>Expense</v>
      </c>
      <c r="F236" s="34" t="n">
        <f aca="false">MONTH(tTransactions[[#This Row],[Date]])</f>
        <v>7</v>
      </c>
      <c r="G236" s="34" t="n">
        <f aca="false">YEAR(tTransactions[[#This Row],[Date]])</f>
        <v>2026</v>
      </c>
    </row>
    <row r="237" customFormat="false" ht="15" hidden="false" customHeight="false" outlineLevel="0" collapsed="false">
      <c r="A237" s="30" t="n">
        <v>46218</v>
      </c>
      <c r="B237" s="31" t="s">
        <v>75</v>
      </c>
      <c r="C237" s="32" t="n">
        <v>489</v>
      </c>
      <c r="D237" s="31" t="s">
        <v>94</v>
      </c>
      <c r="E237" s="33" t="str">
        <f aca="false">IFERROR(INDEX(tCategories[Type],MATCH(tTransactions[[#This Row],[Category]],tCategories[Category],0)),"Unknown category")</f>
        <v>Expense</v>
      </c>
      <c r="F237" s="34" t="n">
        <f aca="false">MONTH(tTransactions[[#This Row],[Date]])</f>
        <v>7</v>
      </c>
      <c r="G237" s="34" t="n">
        <f aca="false">YEAR(tTransactions[[#This Row],[Date]])</f>
        <v>2026</v>
      </c>
    </row>
    <row r="238" customFormat="false" ht="15" hidden="false" customHeight="false" outlineLevel="0" collapsed="false">
      <c r="A238" s="30" t="n">
        <v>46220</v>
      </c>
      <c r="B238" s="31" t="s">
        <v>77</v>
      </c>
      <c r="C238" s="32" t="n">
        <v>56.55</v>
      </c>
      <c r="D238" s="31" t="s">
        <v>78</v>
      </c>
      <c r="E238" s="33" t="str">
        <f aca="false">IFERROR(INDEX(tCategories[Type],MATCH(tTransactions[[#This Row],[Category]],tCategories[Category],0)),"Unknown category")</f>
        <v>Expense</v>
      </c>
      <c r="F238" s="34" t="n">
        <f aca="false">MONTH(tTransactions[[#This Row],[Date]])</f>
        <v>7</v>
      </c>
      <c r="G238" s="34" t="n">
        <f aca="false">YEAR(tTransactions[[#This Row],[Date]])</f>
        <v>2026</v>
      </c>
    </row>
    <row r="239" customFormat="false" ht="15" hidden="false" customHeight="false" outlineLevel="0" collapsed="false">
      <c r="A239" s="30" t="n">
        <v>46221</v>
      </c>
      <c r="B239" s="31" t="s">
        <v>82</v>
      </c>
      <c r="C239" s="32" t="n">
        <v>211.21</v>
      </c>
      <c r="D239" s="31" t="s">
        <v>83</v>
      </c>
      <c r="E239" s="33" t="str">
        <f aca="false">IFERROR(INDEX(tCategories[Type],MATCH(tTransactions[[#This Row],[Category]],tCategories[Category],0)),"Unknown category")</f>
        <v>Expense</v>
      </c>
      <c r="F239" s="34" t="n">
        <f aca="false">MONTH(tTransactions[[#This Row],[Date]])</f>
        <v>7</v>
      </c>
      <c r="G239" s="34" t="n">
        <f aca="false">YEAR(tTransactions[[#This Row],[Date]])</f>
        <v>2026</v>
      </c>
    </row>
    <row r="240" customFormat="false" ht="15" hidden="false" customHeight="false" outlineLevel="0" collapsed="false">
      <c r="A240" s="30" t="n">
        <v>46223</v>
      </c>
      <c r="B240" s="31" t="s">
        <v>77</v>
      </c>
      <c r="C240" s="32" t="n">
        <v>53.35</v>
      </c>
      <c r="D240" s="31" t="s">
        <v>78</v>
      </c>
      <c r="E240" s="33" t="str">
        <f aca="false">IFERROR(INDEX(tCategories[Type],MATCH(tTransactions[[#This Row],[Category]],tCategories[Category],0)),"Unknown category")</f>
        <v>Expense</v>
      </c>
      <c r="F240" s="34" t="n">
        <f aca="false">MONTH(tTransactions[[#This Row],[Date]])</f>
        <v>7</v>
      </c>
      <c r="G240" s="34" t="n">
        <f aca="false">YEAR(tTransactions[[#This Row],[Date]])</f>
        <v>2026</v>
      </c>
    </row>
    <row r="241" customFormat="false" ht="15" hidden="false" customHeight="false" outlineLevel="0" collapsed="false">
      <c r="A241" s="30" t="n">
        <v>46223</v>
      </c>
      <c r="B241" s="31" t="s">
        <v>96</v>
      </c>
      <c r="C241" s="32" t="n">
        <v>90</v>
      </c>
      <c r="D241" s="31" t="s">
        <v>97</v>
      </c>
      <c r="E241" s="33" t="str">
        <f aca="false">IFERROR(INDEX(tCategories[Type],MATCH(tTransactions[[#This Row],[Category]],tCategories[Category],0)),"Unknown category")</f>
        <v>Expense</v>
      </c>
      <c r="F241" s="34" t="n">
        <f aca="false">MONTH(tTransactions[[#This Row],[Date]])</f>
        <v>7</v>
      </c>
      <c r="G241" s="34" t="n">
        <f aca="false">YEAR(tTransactions[[#This Row],[Date]])</f>
        <v>2026</v>
      </c>
    </row>
    <row r="242" customFormat="false" ht="15" hidden="false" customHeight="false" outlineLevel="0" collapsed="false">
      <c r="A242" s="30" t="n">
        <v>46224</v>
      </c>
      <c r="B242" s="31" t="s">
        <v>87</v>
      </c>
      <c r="C242" s="32" t="n">
        <v>227.27</v>
      </c>
      <c r="D242" s="31" t="s">
        <v>88</v>
      </c>
      <c r="E242" s="33" t="str">
        <f aca="false">IFERROR(INDEX(tCategories[Type],MATCH(tTransactions[[#This Row],[Category]],tCategories[Category],0)),"Unknown category")</f>
        <v>Expense</v>
      </c>
      <c r="F242" s="34" t="n">
        <f aca="false">MONTH(tTransactions[[#This Row],[Date]])</f>
        <v>7</v>
      </c>
      <c r="G242" s="34" t="n">
        <f aca="false">YEAR(tTransactions[[#This Row],[Date]])</f>
        <v>2026</v>
      </c>
    </row>
    <row r="243" customFormat="false" ht="15" hidden="false" customHeight="false" outlineLevel="0" collapsed="false">
      <c r="A243" s="30" t="n">
        <v>46225</v>
      </c>
      <c r="B243" s="31" t="s">
        <v>77</v>
      </c>
      <c r="C243" s="32" t="n">
        <v>26.63</v>
      </c>
      <c r="D243" s="31" t="s">
        <v>95</v>
      </c>
      <c r="E243" s="33" t="str">
        <f aca="false">IFERROR(INDEX(tCategories[Type],MATCH(tTransactions[[#This Row],[Category]],tCategories[Category],0)),"Unknown category")</f>
        <v>Expense</v>
      </c>
      <c r="F243" s="34" t="n">
        <f aca="false">MONTH(tTransactions[[#This Row],[Date]])</f>
        <v>7</v>
      </c>
      <c r="G243" s="34" t="n">
        <f aca="false">YEAR(tTransactions[[#This Row],[Date]])</f>
        <v>2026</v>
      </c>
    </row>
    <row r="244" customFormat="false" ht="15" hidden="false" customHeight="false" outlineLevel="0" collapsed="false">
      <c r="A244" s="30" t="n">
        <v>46226</v>
      </c>
      <c r="B244" s="31" t="s">
        <v>77</v>
      </c>
      <c r="C244" s="32" t="n">
        <v>21.82</v>
      </c>
      <c r="D244" s="31" t="s">
        <v>81</v>
      </c>
      <c r="E244" s="33" t="str">
        <f aca="false">IFERROR(INDEX(tCategories[Type],MATCH(tTransactions[[#This Row],[Category]],tCategories[Category],0)),"Unknown category")</f>
        <v>Expense</v>
      </c>
      <c r="F244" s="34" t="n">
        <f aca="false">MONTH(tTransactions[[#This Row],[Date]])</f>
        <v>7</v>
      </c>
      <c r="G244" s="34" t="n">
        <f aca="false">YEAR(tTransactions[[#This Row],[Date]])</f>
        <v>2026</v>
      </c>
    </row>
    <row r="245" customFormat="false" ht="15" hidden="false" customHeight="false" outlineLevel="0" collapsed="false">
      <c r="A245" s="30" t="n">
        <v>46227</v>
      </c>
      <c r="B245" s="31" t="s">
        <v>77</v>
      </c>
      <c r="C245" s="32" t="n">
        <v>94.91</v>
      </c>
      <c r="D245" s="31" t="s">
        <v>81</v>
      </c>
      <c r="E245" s="33" t="str">
        <f aca="false">IFERROR(INDEX(tCategories[Type],MATCH(tTransactions[[#This Row],[Category]],tCategories[Category],0)),"Unknown category")</f>
        <v>Expense</v>
      </c>
      <c r="F245" s="34" t="n">
        <f aca="false">MONTH(tTransactions[[#This Row],[Date]])</f>
        <v>7</v>
      </c>
      <c r="G245" s="34" t="n">
        <f aca="false">YEAR(tTransactions[[#This Row],[Date]])</f>
        <v>2026</v>
      </c>
    </row>
    <row r="246" customFormat="false" ht="15" hidden="false" customHeight="false" outlineLevel="0" collapsed="false">
      <c r="A246" s="30" t="n">
        <v>46228</v>
      </c>
      <c r="B246" s="31" t="s">
        <v>82</v>
      </c>
      <c r="C246" s="32" t="n">
        <v>192.05</v>
      </c>
      <c r="D246" s="31" t="s">
        <v>83</v>
      </c>
      <c r="E246" s="33" t="str">
        <f aca="false">IFERROR(INDEX(tCategories[Type],MATCH(tTransactions[[#This Row],[Category]],tCategories[Category],0)),"Unknown category")</f>
        <v>Expense</v>
      </c>
      <c r="F246" s="34" t="n">
        <f aca="false">MONTH(tTransactions[[#This Row],[Date]])</f>
        <v>7</v>
      </c>
      <c r="G246" s="34" t="n">
        <f aca="false">YEAR(tTransactions[[#This Row],[Date]])</f>
        <v>2026</v>
      </c>
    </row>
    <row r="247" customFormat="false" ht="15" hidden="false" customHeight="false" outlineLevel="0" collapsed="false">
      <c r="A247" s="30" t="n">
        <v>46228</v>
      </c>
      <c r="B247" s="31" t="s">
        <v>79</v>
      </c>
      <c r="C247" s="32" t="n">
        <v>154.18</v>
      </c>
      <c r="D247" s="31" t="s">
        <v>80</v>
      </c>
      <c r="E247" s="33" t="str">
        <f aca="false">IFERROR(INDEX(tCategories[Type],MATCH(tTransactions[[#This Row],[Category]],tCategories[Category],0)),"Unknown category")</f>
        <v>Income</v>
      </c>
      <c r="F247" s="34" t="n">
        <f aca="false">MONTH(tTransactions[[#This Row],[Date]])</f>
        <v>7</v>
      </c>
      <c r="G247" s="34" t="n">
        <f aca="false">YEAR(tTransactions[[#This Row],[Date]])</f>
        <v>2026</v>
      </c>
    </row>
    <row r="248" customFormat="false" ht="15" hidden="false" customHeight="false" outlineLevel="0" collapsed="false">
      <c r="A248" s="30" t="n">
        <v>46230</v>
      </c>
      <c r="B248" s="31" t="s">
        <v>77</v>
      </c>
      <c r="C248" s="32" t="n">
        <v>51.34</v>
      </c>
      <c r="D248" s="31" t="s">
        <v>95</v>
      </c>
      <c r="E248" s="33" t="str">
        <f aca="false">IFERROR(INDEX(tCategories[Type],MATCH(tTransactions[[#This Row],[Category]],tCategories[Category],0)),"Unknown category")</f>
        <v>Expense</v>
      </c>
      <c r="F248" s="34" t="n">
        <f aca="false">MONTH(tTransactions[[#This Row],[Date]])</f>
        <v>7</v>
      </c>
      <c r="G248" s="34" t="n">
        <f aca="false">YEAR(tTransactions[[#This Row],[Date]])</f>
        <v>2026</v>
      </c>
    </row>
    <row r="249" customFormat="false" ht="15" hidden="false" customHeight="false" outlineLevel="0" collapsed="false">
      <c r="A249" s="30" t="n">
        <v>46231</v>
      </c>
      <c r="B249" s="31" t="s">
        <v>77</v>
      </c>
      <c r="C249" s="32" t="n">
        <v>68.28</v>
      </c>
      <c r="D249" s="31" t="s">
        <v>95</v>
      </c>
      <c r="E249" s="33" t="str">
        <f aca="false">IFERROR(INDEX(tCategories[Type],MATCH(tTransactions[[#This Row],[Category]],tCategories[Category],0)),"Unknown category")</f>
        <v>Expense</v>
      </c>
      <c r="F249" s="34" t="n">
        <f aca="false">MONTH(tTransactions[[#This Row],[Date]])</f>
        <v>7</v>
      </c>
      <c r="G249" s="34" t="n">
        <f aca="false">YEAR(tTransactions[[#This Row],[Date]])</f>
        <v>2026</v>
      </c>
    </row>
    <row r="250" customFormat="false" ht="15" hidden="false" customHeight="false" outlineLevel="0" collapsed="false">
      <c r="A250" s="30" t="n">
        <v>46232</v>
      </c>
      <c r="B250" s="31" t="s">
        <v>77</v>
      </c>
      <c r="C250" s="32" t="n">
        <v>123.77</v>
      </c>
      <c r="D250" s="31" t="s">
        <v>81</v>
      </c>
      <c r="E250" s="33" t="str">
        <f aca="false">IFERROR(INDEX(tCategories[Type],MATCH(tTransactions[[#This Row],[Category]],tCategories[Category],0)),"Unknown category")</f>
        <v>Expense</v>
      </c>
      <c r="F250" s="34" t="n">
        <f aca="false">MONTH(tTransactions[[#This Row],[Date]])</f>
        <v>7</v>
      </c>
      <c r="G250" s="34" t="n">
        <f aca="false">YEAR(tTransactions[[#This Row],[Date]])</f>
        <v>2026</v>
      </c>
    </row>
    <row r="251" customFormat="false" ht="15" hidden="false" customHeight="false" outlineLevel="0" collapsed="false">
      <c r="A251" s="30" t="n">
        <v>46232</v>
      </c>
      <c r="B251" s="31" t="s">
        <v>84</v>
      </c>
      <c r="C251" s="32" t="n">
        <v>91.59</v>
      </c>
      <c r="D251" s="31" t="s">
        <v>86</v>
      </c>
      <c r="E251" s="33" t="str">
        <f aca="false">IFERROR(INDEX(tCategories[Type],MATCH(tTransactions[[#This Row],[Category]],tCategories[Category],0)),"Unknown category")</f>
        <v>Expense</v>
      </c>
      <c r="F251" s="34" t="n">
        <f aca="false">MONTH(tTransactions[[#This Row],[Date]])</f>
        <v>7</v>
      </c>
      <c r="G251" s="34" t="n">
        <f aca="false">YEAR(tTransactions[[#This Row],[Date]])</f>
        <v>2026</v>
      </c>
    </row>
    <row r="252" customFormat="false" ht="15" hidden="false" customHeight="false" outlineLevel="0" collapsed="false">
      <c r="A252" s="30" t="n">
        <v>46234</v>
      </c>
      <c r="B252" s="31" t="s">
        <v>77</v>
      </c>
      <c r="C252" s="32" t="n">
        <v>134.73</v>
      </c>
      <c r="D252" s="31" t="s">
        <v>78</v>
      </c>
      <c r="E252" s="33" t="str">
        <f aca="false">IFERROR(INDEX(tCategories[Type],MATCH(tTransactions[[#This Row],[Category]],tCategories[Category],0)),"Unknown category")</f>
        <v>Expense</v>
      </c>
      <c r="F252" s="34" t="n">
        <f aca="false">MONTH(tTransactions[[#This Row],[Date]])</f>
        <v>7</v>
      </c>
      <c r="G252" s="34" t="n">
        <f aca="false">YEAR(tTransactions[[#This Row],[Date]])</f>
        <v>2026</v>
      </c>
    </row>
    <row r="253" customFormat="false" ht="15" hidden="false" customHeight="false" outlineLevel="0" collapsed="false">
      <c r="A253" s="30" t="n">
        <v>46235</v>
      </c>
      <c r="B253" s="31" t="s">
        <v>75</v>
      </c>
      <c r="C253" s="32" t="n">
        <v>2200</v>
      </c>
      <c r="D253" s="31" t="s">
        <v>76</v>
      </c>
      <c r="E253" s="33" t="str">
        <f aca="false">IFERROR(INDEX(tCategories[Type],MATCH(tTransactions[[#This Row],[Category]],tCategories[Category],0)),"Unknown category")</f>
        <v>Expense</v>
      </c>
      <c r="F253" s="34" t="n">
        <f aca="false">MONTH(tTransactions[[#This Row],[Date]])</f>
        <v>8</v>
      </c>
      <c r="G253" s="34" t="n">
        <f aca="false">YEAR(tTransactions[[#This Row],[Date]])</f>
        <v>2026</v>
      </c>
    </row>
    <row r="254" customFormat="false" ht="15" hidden="false" customHeight="false" outlineLevel="0" collapsed="false">
      <c r="A254" s="30" t="n">
        <v>46237</v>
      </c>
      <c r="B254" s="31" t="s">
        <v>77</v>
      </c>
      <c r="C254" s="32" t="n">
        <v>126.51</v>
      </c>
      <c r="D254" s="31" t="s">
        <v>95</v>
      </c>
      <c r="E254" s="33" t="str">
        <f aca="false">IFERROR(INDEX(tCategories[Type],MATCH(tTransactions[[#This Row],[Category]],tCategories[Category],0)),"Unknown category")</f>
        <v>Expense</v>
      </c>
      <c r="F254" s="34" t="n">
        <f aca="false">MONTH(tTransactions[[#This Row],[Date]])</f>
        <v>8</v>
      </c>
      <c r="G254" s="34" t="n">
        <f aca="false">YEAR(tTransactions[[#This Row],[Date]])</f>
        <v>2026</v>
      </c>
    </row>
    <row r="255" customFormat="false" ht="15" hidden="false" customHeight="false" outlineLevel="0" collapsed="false">
      <c r="A255" s="30" t="n">
        <v>46238</v>
      </c>
      <c r="B255" s="31" t="s">
        <v>77</v>
      </c>
      <c r="C255" s="32" t="n">
        <v>38.29</v>
      </c>
      <c r="D255" s="31" t="s">
        <v>95</v>
      </c>
      <c r="E255" s="33" t="str">
        <f aca="false">IFERROR(INDEX(tCategories[Type],MATCH(tTransactions[[#This Row],[Category]],tCategories[Category],0)),"Unknown category")</f>
        <v>Expense</v>
      </c>
      <c r="F255" s="34" t="n">
        <f aca="false">MONTH(tTransactions[[#This Row],[Date]])</f>
        <v>8</v>
      </c>
      <c r="G255" s="34" t="n">
        <f aca="false">YEAR(tTransactions[[#This Row],[Date]])</f>
        <v>2026</v>
      </c>
    </row>
    <row r="256" customFormat="false" ht="15" hidden="false" customHeight="false" outlineLevel="0" collapsed="false">
      <c r="A256" s="30" t="n">
        <v>46238</v>
      </c>
      <c r="B256" s="31" t="s">
        <v>82</v>
      </c>
      <c r="C256" s="32" t="n">
        <v>187.8</v>
      </c>
      <c r="D256" s="31" t="s">
        <v>83</v>
      </c>
      <c r="E256" s="33" t="str">
        <f aca="false">IFERROR(INDEX(tCategories[Type],MATCH(tTransactions[[#This Row],[Category]],tCategories[Category],0)),"Unknown category")</f>
        <v>Expense</v>
      </c>
      <c r="F256" s="34" t="n">
        <f aca="false">MONTH(tTransactions[[#This Row],[Date]])</f>
        <v>8</v>
      </c>
      <c r="G256" s="34" t="n">
        <f aca="false">YEAR(tTransactions[[#This Row],[Date]])</f>
        <v>2026</v>
      </c>
    </row>
    <row r="257" customFormat="false" ht="15" hidden="false" customHeight="false" outlineLevel="0" collapsed="false">
      <c r="A257" s="30" t="n">
        <v>46240</v>
      </c>
      <c r="B257" s="31" t="s">
        <v>77</v>
      </c>
      <c r="C257" s="32" t="n">
        <v>146.69</v>
      </c>
      <c r="D257" s="31" t="s">
        <v>95</v>
      </c>
      <c r="E257" s="33" t="str">
        <f aca="false">IFERROR(INDEX(tCategories[Type],MATCH(tTransactions[[#This Row],[Category]],tCategories[Category],0)),"Unknown category")</f>
        <v>Expense</v>
      </c>
      <c r="F257" s="34" t="n">
        <f aca="false">MONTH(tTransactions[[#This Row],[Date]])</f>
        <v>8</v>
      </c>
      <c r="G257" s="34" t="n">
        <f aca="false">YEAR(tTransactions[[#This Row],[Date]])</f>
        <v>2026</v>
      </c>
    </row>
    <row r="258" customFormat="false" ht="15" hidden="false" customHeight="false" outlineLevel="0" collapsed="false">
      <c r="A258" s="30" t="n">
        <v>46244</v>
      </c>
      <c r="B258" s="31" t="s">
        <v>89</v>
      </c>
      <c r="C258" s="32" t="n">
        <v>7650</v>
      </c>
      <c r="D258" s="31" t="s">
        <v>90</v>
      </c>
      <c r="E258" s="33" t="str">
        <f aca="false">IFERROR(INDEX(tCategories[Type],MATCH(tTransactions[[#This Row],[Category]],tCategories[Category],0)),"Unknown category")</f>
        <v>Income</v>
      </c>
      <c r="F258" s="34" t="n">
        <f aca="false">MONTH(tTransactions[[#This Row],[Date]])</f>
        <v>8</v>
      </c>
      <c r="G258" s="34" t="n">
        <f aca="false">YEAR(tTransactions[[#This Row],[Date]])</f>
        <v>2026</v>
      </c>
    </row>
    <row r="259" customFormat="false" ht="15" hidden="false" customHeight="false" outlineLevel="0" collapsed="false">
      <c r="A259" s="30" t="n">
        <v>46245</v>
      </c>
      <c r="B259" s="31" t="s">
        <v>62</v>
      </c>
      <c r="C259" s="32" t="n">
        <v>1500</v>
      </c>
      <c r="D259" s="31" t="s">
        <v>91</v>
      </c>
      <c r="E259" s="33" t="str">
        <f aca="false">IFERROR(INDEX(tCategories[Type],MATCH(tTransactions[[#This Row],[Category]],tCategories[Category],0)),"Unknown category")</f>
        <v>Investment</v>
      </c>
      <c r="F259" s="34" t="n">
        <f aca="false">MONTH(tTransactions[[#This Row],[Date]])</f>
        <v>8</v>
      </c>
      <c r="G259" s="34" t="n">
        <f aca="false">YEAR(tTransactions[[#This Row],[Date]])</f>
        <v>2026</v>
      </c>
    </row>
    <row r="260" customFormat="false" ht="15" hidden="false" customHeight="false" outlineLevel="0" collapsed="false">
      <c r="A260" s="30" t="n">
        <v>46245</v>
      </c>
      <c r="B260" s="31" t="s">
        <v>82</v>
      </c>
      <c r="C260" s="32" t="n">
        <v>245.3</v>
      </c>
      <c r="D260" s="31" t="s">
        <v>83</v>
      </c>
      <c r="E260" s="33" t="str">
        <f aca="false">IFERROR(INDEX(tCategories[Type],MATCH(tTransactions[[#This Row],[Category]],tCategories[Category],0)),"Unknown category")</f>
        <v>Expense</v>
      </c>
      <c r="F260" s="34" t="n">
        <f aca="false">MONTH(tTransactions[[#This Row],[Date]])</f>
        <v>8</v>
      </c>
      <c r="G260" s="34" t="n">
        <f aca="false">YEAR(tTransactions[[#This Row],[Date]])</f>
        <v>2026</v>
      </c>
    </row>
    <row r="261" customFormat="false" ht="15" hidden="false" customHeight="false" outlineLevel="0" collapsed="false">
      <c r="A261" s="30" t="n">
        <v>46245</v>
      </c>
      <c r="B261" s="31" t="s">
        <v>87</v>
      </c>
      <c r="C261" s="32" t="n">
        <v>221.46</v>
      </c>
      <c r="D261" s="31" t="s">
        <v>88</v>
      </c>
      <c r="E261" s="33" t="str">
        <f aca="false">IFERROR(INDEX(tCategories[Type],MATCH(tTransactions[[#This Row],[Category]],tCategories[Category],0)),"Unknown category")</f>
        <v>Expense</v>
      </c>
      <c r="F261" s="34" t="n">
        <f aca="false">MONTH(tTransactions[[#This Row],[Date]])</f>
        <v>8</v>
      </c>
      <c r="G261" s="34" t="n">
        <f aca="false">YEAR(tTransactions[[#This Row],[Date]])</f>
        <v>2026</v>
      </c>
    </row>
    <row r="262" customFormat="false" ht="15" hidden="false" customHeight="false" outlineLevel="0" collapsed="false">
      <c r="A262" s="30" t="n">
        <v>46246</v>
      </c>
      <c r="B262" s="31" t="s">
        <v>92</v>
      </c>
      <c r="C262" s="32" t="n">
        <v>900</v>
      </c>
      <c r="D262" s="31" t="s">
        <v>93</v>
      </c>
      <c r="E262" s="33" t="str">
        <f aca="false">IFERROR(INDEX(tCategories[Type],MATCH(tTransactions[[#This Row],[Category]],tCategories[Category],0)),"Unknown category")</f>
        <v>Loan payment</v>
      </c>
      <c r="F262" s="34" t="n">
        <f aca="false">MONTH(tTransactions[[#This Row],[Date]])</f>
        <v>8</v>
      </c>
      <c r="G262" s="34" t="n">
        <f aca="false">YEAR(tTransactions[[#This Row],[Date]])</f>
        <v>2026</v>
      </c>
    </row>
    <row r="263" customFormat="false" ht="15" hidden="false" customHeight="false" outlineLevel="0" collapsed="false">
      <c r="A263" s="30" t="n">
        <v>46246</v>
      </c>
      <c r="B263" s="31" t="s">
        <v>77</v>
      </c>
      <c r="C263" s="32" t="n">
        <v>132.03</v>
      </c>
      <c r="D263" s="31" t="s">
        <v>95</v>
      </c>
      <c r="E263" s="33" t="str">
        <f aca="false">IFERROR(INDEX(tCategories[Type],MATCH(tTransactions[[#This Row],[Category]],tCategories[Category],0)),"Unknown category")</f>
        <v>Expense</v>
      </c>
      <c r="F263" s="34" t="n">
        <f aca="false">MONTH(tTransactions[[#This Row],[Date]])</f>
        <v>8</v>
      </c>
      <c r="G263" s="34" t="n">
        <f aca="false">YEAR(tTransactions[[#This Row],[Date]])</f>
        <v>2026</v>
      </c>
    </row>
    <row r="264" customFormat="false" ht="15" hidden="false" customHeight="false" outlineLevel="0" collapsed="false">
      <c r="A264" s="30" t="n">
        <v>46247</v>
      </c>
      <c r="B264" s="31" t="s">
        <v>77</v>
      </c>
      <c r="C264" s="32" t="n">
        <v>49.41</v>
      </c>
      <c r="D264" s="31" t="s">
        <v>78</v>
      </c>
      <c r="E264" s="33" t="str">
        <f aca="false">IFERROR(INDEX(tCategories[Type],MATCH(tTransactions[[#This Row],[Category]],tCategories[Category],0)),"Unknown category")</f>
        <v>Expense</v>
      </c>
      <c r="F264" s="34" t="n">
        <f aca="false">MONTH(tTransactions[[#This Row],[Date]])</f>
        <v>8</v>
      </c>
      <c r="G264" s="34" t="n">
        <f aca="false">YEAR(tTransactions[[#This Row],[Date]])</f>
        <v>2026</v>
      </c>
    </row>
    <row r="265" customFormat="false" ht="15" hidden="false" customHeight="false" outlineLevel="0" collapsed="false">
      <c r="A265" s="30" t="n">
        <v>46248</v>
      </c>
      <c r="B265" s="31" t="s">
        <v>77</v>
      </c>
      <c r="C265" s="32" t="n">
        <v>135.65</v>
      </c>
      <c r="D265" s="31" t="s">
        <v>81</v>
      </c>
      <c r="E265" s="33" t="str">
        <f aca="false">IFERROR(INDEX(tCategories[Type],MATCH(tTransactions[[#This Row],[Category]],tCategories[Category],0)),"Unknown category")</f>
        <v>Expense</v>
      </c>
      <c r="F265" s="34" t="n">
        <f aca="false">MONTH(tTransactions[[#This Row],[Date]])</f>
        <v>8</v>
      </c>
      <c r="G265" s="34" t="n">
        <f aca="false">YEAR(tTransactions[[#This Row],[Date]])</f>
        <v>2026</v>
      </c>
    </row>
    <row r="266" customFormat="false" ht="15" hidden="false" customHeight="false" outlineLevel="0" collapsed="false">
      <c r="A266" s="30" t="n">
        <v>46249</v>
      </c>
      <c r="B266" s="31" t="s">
        <v>75</v>
      </c>
      <c r="C266" s="32" t="n">
        <v>434</v>
      </c>
      <c r="D266" s="31" t="s">
        <v>94</v>
      </c>
      <c r="E266" s="33" t="str">
        <f aca="false">IFERROR(INDEX(tCategories[Type],MATCH(tTransactions[[#This Row],[Category]],tCategories[Category],0)),"Unknown category")</f>
        <v>Expense</v>
      </c>
      <c r="F266" s="34" t="n">
        <f aca="false">MONTH(tTransactions[[#This Row],[Date]])</f>
        <v>8</v>
      </c>
      <c r="G266" s="34" t="n">
        <f aca="false">YEAR(tTransactions[[#This Row],[Date]])</f>
        <v>2026</v>
      </c>
    </row>
    <row r="267" customFormat="false" ht="15" hidden="false" customHeight="false" outlineLevel="0" collapsed="false">
      <c r="A267" s="30" t="n">
        <v>46249</v>
      </c>
      <c r="B267" s="31" t="s">
        <v>77</v>
      </c>
      <c r="C267" s="32" t="n">
        <v>74.18</v>
      </c>
      <c r="D267" s="31"/>
      <c r="E267" s="33" t="str">
        <f aca="false">IFERROR(INDEX(tCategories[Type],MATCH(tTransactions[[#This Row],[Category]],tCategories[Category],0)),"Unknown category")</f>
        <v>Expense</v>
      </c>
      <c r="F267" s="34" t="n">
        <f aca="false">MONTH(tTransactions[[#This Row],[Date]])</f>
        <v>8</v>
      </c>
      <c r="G267" s="34" t="n">
        <f aca="false">YEAR(tTransactions[[#This Row],[Date]])</f>
        <v>2026</v>
      </c>
    </row>
    <row r="268" customFormat="false" ht="15" hidden="false" customHeight="false" outlineLevel="0" collapsed="false">
      <c r="A268" s="30" t="n">
        <v>46250</v>
      </c>
      <c r="B268" s="31" t="s">
        <v>84</v>
      </c>
      <c r="C268" s="32" t="n">
        <v>132.09</v>
      </c>
      <c r="D268" s="31" t="s">
        <v>86</v>
      </c>
      <c r="E268" s="33" t="str">
        <f aca="false">IFERROR(INDEX(tCategories[Type],MATCH(tTransactions[[#This Row],[Category]],tCategories[Category],0)),"Unknown category")</f>
        <v>Expense</v>
      </c>
      <c r="F268" s="34" t="n">
        <f aca="false">MONTH(tTransactions[[#This Row],[Date]])</f>
        <v>8</v>
      </c>
      <c r="G268" s="34" t="n">
        <f aca="false">YEAR(tTransactions[[#This Row],[Date]])</f>
        <v>2026</v>
      </c>
    </row>
    <row r="269" customFormat="false" ht="15" hidden="false" customHeight="false" outlineLevel="0" collapsed="false">
      <c r="A269" s="30" t="n">
        <v>46252</v>
      </c>
      <c r="B269" s="31" t="s">
        <v>77</v>
      </c>
      <c r="C269" s="32" t="n">
        <v>73.41</v>
      </c>
      <c r="D269" s="31" t="s">
        <v>78</v>
      </c>
      <c r="E269" s="33" t="str">
        <f aca="false">IFERROR(INDEX(tCategories[Type],MATCH(tTransactions[[#This Row],[Category]],tCategories[Category],0)),"Unknown category")</f>
        <v>Expense</v>
      </c>
      <c r="F269" s="34" t="n">
        <f aca="false">MONTH(tTransactions[[#This Row],[Date]])</f>
        <v>8</v>
      </c>
      <c r="G269" s="34" t="n">
        <f aca="false">YEAR(tTransactions[[#This Row],[Date]])</f>
        <v>2026</v>
      </c>
    </row>
    <row r="270" customFormat="false" ht="15" hidden="false" customHeight="false" outlineLevel="0" collapsed="false">
      <c r="A270" s="30" t="n">
        <v>46252</v>
      </c>
      <c r="B270" s="31" t="s">
        <v>82</v>
      </c>
      <c r="C270" s="32" t="n">
        <v>213.76</v>
      </c>
      <c r="D270" s="31" t="s">
        <v>83</v>
      </c>
      <c r="E270" s="33" t="str">
        <f aca="false">IFERROR(INDEX(tCategories[Type],MATCH(tTransactions[[#This Row],[Category]],tCategories[Category],0)),"Unknown category")</f>
        <v>Expense</v>
      </c>
      <c r="F270" s="34" t="n">
        <f aca="false">MONTH(tTransactions[[#This Row],[Date]])</f>
        <v>8</v>
      </c>
      <c r="G270" s="34" t="n">
        <f aca="false">YEAR(tTransactions[[#This Row],[Date]])</f>
        <v>2026</v>
      </c>
    </row>
    <row r="271" customFormat="false" ht="15" hidden="false" customHeight="false" outlineLevel="0" collapsed="false">
      <c r="A271" s="30" t="n">
        <v>46254</v>
      </c>
      <c r="B271" s="31" t="s">
        <v>96</v>
      </c>
      <c r="C271" s="32" t="n">
        <v>640</v>
      </c>
      <c r="D271" s="31" t="s">
        <v>97</v>
      </c>
      <c r="E271" s="33" t="str">
        <f aca="false">IFERROR(INDEX(tCategories[Type],MATCH(tTransactions[[#This Row],[Category]],tCategories[Category],0)),"Unknown category")</f>
        <v>Expense</v>
      </c>
      <c r="F271" s="34" t="n">
        <f aca="false">MONTH(tTransactions[[#This Row],[Date]])</f>
        <v>8</v>
      </c>
      <c r="G271" s="34" t="n">
        <f aca="false">YEAR(tTransactions[[#This Row],[Date]])</f>
        <v>2026</v>
      </c>
    </row>
    <row r="272" customFormat="false" ht="15" hidden="false" customHeight="false" outlineLevel="0" collapsed="false">
      <c r="A272" s="30" t="n">
        <v>46255</v>
      </c>
      <c r="B272" s="31" t="s">
        <v>77</v>
      </c>
      <c r="C272" s="32" t="n">
        <v>125.77</v>
      </c>
      <c r="D272" s="31" t="s">
        <v>95</v>
      </c>
      <c r="E272" s="33" t="str">
        <f aca="false">IFERROR(INDEX(tCategories[Type],MATCH(tTransactions[[#This Row],[Category]],tCategories[Category],0)),"Unknown category")</f>
        <v>Expense</v>
      </c>
      <c r="F272" s="34" t="n">
        <f aca="false">MONTH(tTransactions[[#This Row],[Date]])</f>
        <v>8</v>
      </c>
      <c r="G272" s="34" t="n">
        <f aca="false">YEAR(tTransactions[[#This Row],[Date]])</f>
        <v>2026</v>
      </c>
    </row>
    <row r="273" customFormat="false" ht="15" hidden="false" customHeight="false" outlineLevel="0" collapsed="false">
      <c r="A273" s="30" t="n">
        <v>46257</v>
      </c>
      <c r="B273" s="31" t="s">
        <v>77</v>
      </c>
      <c r="C273" s="32" t="n">
        <v>26.2</v>
      </c>
      <c r="D273" s="31" t="s">
        <v>78</v>
      </c>
      <c r="E273" s="33" t="str">
        <f aca="false">IFERROR(INDEX(tCategories[Type],MATCH(tTransactions[[#This Row],[Category]],tCategories[Category],0)),"Unknown category")</f>
        <v>Expense</v>
      </c>
      <c r="F273" s="34" t="n">
        <f aca="false">MONTH(tTransactions[[#This Row],[Date]])</f>
        <v>8</v>
      </c>
      <c r="G273" s="34" t="n">
        <f aca="false">YEAR(tTransactions[[#This Row],[Date]])</f>
        <v>2026</v>
      </c>
    </row>
    <row r="274" customFormat="false" ht="15" hidden="false" customHeight="false" outlineLevel="0" collapsed="false">
      <c r="A274" s="30" t="n">
        <v>46257</v>
      </c>
      <c r="B274" s="31" t="s">
        <v>84</v>
      </c>
      <c r="C274" s="32" t="n">
        <v>147.45</v>
      </c>
      <c r="D274" s="31" t="s">
        <v>86</v>
      </c>
      <c r="E274" s="33" t="str">
        <f aca="false">IFERROR(INDEX(tCategories[Type],MATCH(tTransactions[[#This Row],[Category]],tCategories[Category],0)),"Unknown category")</f>
        <v>Expense</v>
      </c>
      <c r="F274" s="34" t="n">
        <f aca="false">MONTH(tTransactions[[#This Row],[Date]])</f>
        <v>8</v>
      </c>
      <c r="G274" s="34" t="n">
        <f aca="false">YEAR(tTransactions[[#This Row],[Date]])</f>
        <v>2026</v>
      </c>
    </row>
    <row r="275" customFormat="false" ht="15" hidden="false" customHeight="false" outlineLevel="0" collapsed="false">
      <c r="A275" s="30" t="n">
        <v>46259</v>
      </c>
      <c r="B275" s="31" t="s">
        <v>82</v>
      </c>
      <c r="C275" s="32" t="n">
        <v>236.98</v>
      </c>
      <c r="D275" s="31" t="s">
        <v>83</v>
      </c>
      <c r="E275" s="33" t="str">
        <f aca="false">IFERROR(INDEX(tCategories[Type],MATCH(tTransactions[[#This Row],[Category]],tCategories[Category],0)),"Unknown category")</f>
        <v>Expense</v>
      </c>
      <c r="F275" s="34" t="n">
        <f aca="false">MONTH(tTransactions[[#This Row],[Date]])</f>
        <v>8</v>
      </c>
      <c r="G275" s="34" t="n">
        <f aca="false">YEAR(tTransactions[[#This Row],[Date]])</f>
        <v>2026</v>
      </c>
    </row>
    <row r="276" customFormat="false" ht="15" hidden="false" customHeight="false" outlineLevel="0" collapsed="false">
      <c r="A276" s="30" t="n">
        <v>46259</v>
      </c>
      <c r="B276" s="31" t="s">
        <v>87</v>
      </c>
      <c r="C276" s="32" t="n">
        <v>241.55</v>
      </c>
      <c r="D276" s="31" t="s">
        <v>88</v>
      </c>
      <c r="E276" s="33" t="str">
        <f aca="false">IFERROR(INDEX(tCategories[Type],MATCH(tTransactions[[#This Row],[Category]],tCategories[Category],0)),"Unknown category")</f>
        <v>Expense</v>
      </c>
      <c r="F276" s="34" t="n">
        <f aca="false">MONTH(tTransactions[[#This Row],[Date]])</f>
        <v>8</v>
      </c>
      <c r="G276" s="34" t="n">
        <f aca="false">YEAR(tTransactions[[#This Row],[Date]])</f>
        <v>2026</v>
      </c>
    </row>
    <row r="277" customFormat="false" ht="15" hidden="false" customHeight="false" outlineLevel="0" collapsed="false">
      <c r="A277" s="30" t="n">
        <v>46259</v>
      </c>
      <c r="B277" s="31" t="s">
        <v>87</v>
      </c>
      <c r="C277" s="32" t="n">
        <v>151.81</v>
      </c>
      <c r="D277" s="31" t="s">
        <v>88</v>
      </c>
      <c r="E277" s="33" t="str">
        <f aca="false">IFERROR(INDEX(tCategories[Type],MATCH(tTransactions[[#This Row],[Category]],tCategories[Category],0)),"Unknown category")</f>
        <v>Expense</v>
      </c>
      <c r="F277" s="34" t="n">
        <f aca="false">MONTH(tTransactions[[#This Row],[Date]])</f>
        <v>8</v>
      </c>
      <c r="G277" s="34" t="n">
        <f aca="false">YEAR(tTransactions[[#This Row],[Date]])</f>
        <v>2026</v>
      </c>
    </row>
    <row r="278" customFormat="false" ht="15" hidden="false" customHeight="false" outlineLevel="0" collapsed="false">
      <c r="A278" s="30" t="n">
        <v>46262</v>
      </c>
      <c r="B278" s="31" t="s">
        <v>77</v>
      </c>
      <c r="C278" s="32" t="n">
        <v>95.65</v>
      </c>
      <c r="D278" s="31" t="s">
        <v>81</v>
      </c>
      <c r="E278" s="33" t="str">
        <f aca="false">IFERROR(INDEX(tCategories[Type],MATCH(tTransactions[[#This Row],[Category]],tCategories[Category],0)),"Unknown category")</f>
        <v>Expense</v>
      </c>
      <c r="F278" s="34" t="n">
        <f aca="false">MONTH(tTransactions[[#This Row],[Date]])</f>
        <v>8</v>
      </c>
      <c r="G278" s="34" t="n">
        <f aca="false">YEAR(tTransactions[[#This Row],[Date]])</f>
        <v>2026</v>
      </c>
    </row>
    <row r="279" customFormat="false" ht="15" hidden="false" customHeight="false" outlineLevel="0" collapsed="false">
      <c r="A279" s="30" t="n">
        <v>46263</v>
      </c>
      <c r="B279" s="31" t="s">
        <v>77</v>
      </c>
      <c r="C279" s="32" t="n">
        <v>56.86</v>
      </c>
      <c r="D279" s="31" t="s">
        <v>81</v>
      </c>
      <c r="E279" s="33" t="str">
        <f aca="false">IFERROR(INDEX(tCategories[Type],MATCH(tTransactions[[#This Row],[Category]],tCategories[Category],0)),"Unknown category")</f>
        <v>Expense</v>
      </c>
      <c r="F279" s="34" t="n">
        <f aca="false">MONTH(tTransactions[[#This Row],[Date]])</f>
        <v>8</v>
      </c>
      <c r="G279" s="34" t="n">
        <f aca="false">YEAR(tTransactions[[#This Row],[Date]])</f>
        <v>2026</v>
      </c>
    </row>
    <row r="280" customFormat="false" ht="15" hidden="false" customHeight="false" outlineLevel="0" collapsed="false">
      <c r="A280" s="30" t="n">
        <v>46265</v>
      </c>
      <c r="B280" s="31" t="s">
        <v>77</v>
      </c>
      <c r="C280" s="32" t="n">
        <v>108.05</v>
      </c>
      <c r="D280" s="31" t="s">
        <v>78</v>
      </c>
      <c r="E280" s="33" t="str">
        <f aca="false">IFERROR(INDEX(tCategories[Type],MATCH(tTransactions[[#This Row],[Category]],tCategories[Category],0)),"Unknown category")</f>
        <v>Expense</v>
      </c>
      <c r="F280" s="34" t="n">
        <f aca="false">MONTH(tTransactions[[#This Row],[Date]])</f>
        <v>8</v>
      </c>
      <c r="G280" s="34" t="n">
        <f aca="false">YEAR(tTransactions[[#This Row],[Date]])</f>
        <v>2026</v>
      </c>
    </row>
    <row r="281" customFormat="false" ht="15" hidden="false" customHeight="false" outlineLevel="0" collapsed="false">
      <c r="A281" s="30" t="n">
        <v>46266</v>
      </c>
      <c r="B281" s="31" t="s">
        <v>75</v>
      </c>
      <c r="C281" s="32" t="n">
        <v>2200</v>
      </c>
      <c r="D281" s="31" t="s">
        <v>76</v>
      </c>
      <c r="E281" s="33" t="str">
        <f aca="false">IFERROR(INDEX(tCategories[Type],MATCH(tTransactions[[#This Row],[Category]],tCategories[Category],0)),"Unknown category")</f>
        <v>Expense</v>
      </c>
      <c r="F281" s="34" t="n">
        <f aca="false">MONTH(tTransactions[[#This Row],[Date]])</f>
        <v>9</v>
      </c>
      <c r="G281" s="34" t="n">
        <f aca="false">YEAR(tTransactions[[#This Row],[Date]])</f>
        <v>2026</v>
      </c>
    </row>
    <row r="282" customFormat="false" ht="15" hidden="false" customHeight="false" outlineLevel="0" collapsed="false">
      <c r="A282" s="30" t="n">
        <v>46269</v>
      </c>
      <c r="B282" s="31" t="s">
        <v>82</v>
      </c>
      <c r="C282" s="32" t="n">
        <v>241.93</v>
      </c>
      <c r="D282" s="31" t="s">
        <v>83</v>
      </c>
      <c r="E282" s="33" t="str">
        <f aca="false">IFERROR(INDEX(tCategories[Type],MATCH(tTransactions[[#This Row],[Category]],tCategories[Category],0)),"Unknown category")</f>
        <v>Expense</v>
      </c>
      <c r="F282" s="34" t="n">
        <f aca="false">MONTH(tTransactions[[#This Row],[Date]])</f>
        <v>9</v>
      </c>
      <c r="G282" s="34" t="n">
        <f aca="false">YEAR(tTransactions[[#This Row],[Date]])</f>
        <v>2026</v>
      </c>
    </row>
    <row r="283" customFormat="false" ht="15" hidden="false" customHeight="false" outlineLevel="0" collapsed="false">
      <c r="A283" s="30" t="n">
        <v>46270</v>
      </c>
      <c r="B283" s="31" t="s">
        <v>77</v>
      </c>
      <c r="C283" s="32" t="n">
        <v>118.83</v>
      </c>
      <c r="D283" s="31" t="s">
        <v>81</v>
      </c>
      <c r="E283" s="33" t="str">
        <f aca="false">IFERROR(INDEX(tCategories[Type],MATCH(tTransactions[[#This Row],[Category]],tCategories[Category],0)),"Unknown category")</f>
        <v>Expense</v>
      </c>
      <c r="F283" s="34" t="n">
        <f aca="false">MONTH(tTransactions[[#This Row],[Date]])</f>
        <v>9</v>
      </c>
      <c r="G283" s="34" t="n">
        <f aca="false">YEAR(tTransactions[[#This Row],[Date]])</f>
        <v>2026</v>
      </c>
    </row>
    <row r="284" customFormat="false" ht="15" hidden="false" customHeight="false" outlineLevel="0" collapsed="false">
      <c r="A284" s="30" t="n">
        <v>46271</v>
      </c>
      <c r="B284" s="31" t="s">
        <v>77</v>
      </c>
      <c r="C284" s="32" t="n">
        <v>77.7</v>
      </c>
      <c r="D284" s="31" t="s">
        <v>78</v>
      </c>
      <c r="E284" s="33" t="str">
        <f aca="false">IFERROR(INDEX(tCategories[Type],MATCH(tTransactions[[#This Row],[Category]],tCategories[Category],0)),"Unknown category")</f>
        <v>Expense</v>
      </c>
      <c r="F284" s="34" t="n">
        <f aca="false">MONTH(tTransactions[[#This Row],[Date]])</f>
        <v>9</v>
      </c>
      <c r="G284" s="34" t="n">
        <f aca="false">YEAR(tTransactions[[#This Row],[Date]])</f>
        <v>2026</v>
      </c>
    </row>
    <row r="285" customFormat="false" ht="15" hidden="false" customHeight="false" outlineLevel="0" collapsed="false">
      <c r="A285" s="30" t="n">
        <v>46272</v>
      </c>
      <c r="B285" s="31" t="s">
        <v>77</v>
      </c>
      <c r="C285" s="32" t="n">
        <v>41.04</v>
      </c>
      <c r="D285" s="31"/>
      <c r="E285" s="33" t="str">
        <f aca="false">IFERROR(INDEX(tCategories[Type],MATCH(tTransactions[[#This Row],[Category]],tCategories[Category],0)),"Unknown category")</f>
        <v>Expense</v>
      </c>
      <c r="F285" s="34" t="n">
        <f aca="false">MONTH(tTransactions[[#This Row],[Date]])</f>
        <v>9</v>
      </c>
      <c r="G285" s="34" t="n">
        <f aca="false">YEAR(tTransactions[[#This Row],[Date]])</f>
        <v>2026</v>
      </c>
    </row>
    <row r="286" customFormat="false" ht="15" hidden="false" customHeight="false" outlineLevel="0" collapsed="false">
      <c r="A286" s="30" t="n">
        <v>46274</v>
      </c>
      <c r="B286" s="31" t="s">
        <v>77</v>
      </c>
      <c r="C286" s="32" t="n">
        <v>73.28</v>
      </c>
      <c r="D286" s="31" t="s">
        <v>95</v>
      </c>
      <c r="E286" s="33" t="str">
        <f aca="false">IFERROR(INDEX(tCategories[Type],MATCH(tTransactions[[#This Row],[Category]],tCategories[Category],0)),"Unknown category")</f>
        <v>Expense</v>
      </c>
      <c r="F286" s="34" t="n">
        <f aca="false">MONTH(tTransactions[[#This Row],[Date]])</f>
        <v>9</v>
      </c>
      <c r="G286" s="34" t="n">
        <f aca="false">YEAR(tTransactions[[#This Row],[Date]])</f>
        <v>2026</v>
      </c>
    </row>
    <row r="287" customFormat="false" ht="15" hidden="false" customHeight="false" outlineLevel="0" collapsed="false">
      <c r="A287" s="30" t="n">
        <v>46275</v>
      </c>
      <c r="B287" s="31" t="s">
        <v>89</v>
      </c>
      <c r="C287" s="32" t="n">
        <v>7650</v>
      </c>
      <c r="D287" s="31" t="s">
        <v>90</v>
      </c>
      <c r="E287" s="33" t="str">
        <f aca="false">IFERROR(INDEX(tCategories[Type],MATCH(tTransactions[[#This Row],[Category]],tCategories[Category],0)),"Unknown category")</f>
        <v>Income</v>
      </c>
      <c r="F287" s="34" t="n">
        <f aca="false">MONTH(tTransactions[[#This Row],[Date]])</f>
        <v>9</v>
      </c>
      <c r="G287" s="34" t="n">
        <f aca="false">YEAR(tTransactions[[#This Row],[Date]])</f>
        <v>2026</v>
      </c>
    </row>
    <row r="288" customFormat="false" ht="15" hidden="false" customHeight="false" outlineLevel="0" collapsed="false">
      <c r="A288" s="30" t="n">
        <v>46275</v>
      </c>
      <c r="B288" s="31" t="s">
        <v>77</v>
      </c>
      <c r="C288" s="32" t="n">
        <v>143.82</v>
      </c>
      <c r="D288" s="31"/>
      <c r="E288" s="33" t="str">
        <f aca="false">IFERROR(INDEX(tCategories[Type],MATCH(tTransactions[[#This Row],[Category]],tCategories[Category],0)),"Unknown category")</f>
        <v>Expense</v>
      </c>
      <c r="F288" s="34" t="n">
        <f aca="false">MONTH(tTransactions[[#This Row],[Date]])</f>
        <v>9</v>
      </c>
      <c r="G288" s="34" t="n">
        <f aca="false">YEAR(tTransactions[[#This Row],[Date]])</f>
        <v>2026</v>
      </c>
    </row>
    <row r="289" customFormat="false" ht="15" hidden="false" customHeight="false" outlineLevel="0" collapsed="false">
      <c r="A289" s="30" t="n">
        <v>46276</v>
      </c>
      <c r="B289" s="31" t="s">
        <v>62</v>
      </c>
      <c r="C289" s="32" t="n">
        <v>1200</v>
      </c>
      <c r="D289" s="31" t="s">
        <v>91</v>
      </c>
      <c r="E289" s="33" t="str">
        <f aca="false">IFERROR(INDEX(tCategories[Type],MATCH(tTransactions[[#This Row],[Category]],tCategories[Category],0)),"Unknown category")</f>
        <v>Investment</v>
      </c>
      <c r="F289" s="34" t="n">
        <f aca="false">MONTH(tTransactions[[#This Row],[Date]])</f>
        <v>9</v>
      </c>
      <c r="G289" s="34" t="n">
        <f aca="false">YEAR(tTransactions[[#This Row],[Date]])</f>
        <v>2026</v>
      </c>
    </row>
    <row r="290" customFormat="false" ht="15" hidden="false" customHeight="false" outlineLevel="0" collapsed="false">
      <c r="A290" s="30" t="n">
        <v>46276</v>
      </c>
      <c r="B290" s="31" t="s">
        <v>77</v>
      </c>
      <c r="C290" s="32" t="n">
        <v>34.3</v>
      </c>
      <c r="D290" s="31" t="s">
        <v>78</v>
      </c>
      <c r="E290" s="33" t="str">
        <f aca="false">IFERROR(INDEX(tCategories[Type],MATCH(tTransactions[[#This Row],[Category]],tCategories[Category],0)),"Unknown category")</f>
        <v>Expense</v>
      </c>
      <c r="F290" s="34" t="n">
        <f aca="false">MONTH(tTransactions[[#This Row],[Date]])</f>
        <v>9</v>
      </c>
      <c r="G290" s="34" t="n">
        <f aca="false">YEAR(tTransactions[[#This Row],[Date]])</f>
        <v>2026</v>
      </c>
    </row>
    <row r="291" customFormat="false" ht="15" hidden="false" customHeight="false" outlineLevel="0" collapsed="false">
      <c r="A291" s="30" t="n">
        <v>46276</v>
      </c>
      <c r="B291" s="31" t="s">
        <v>82</v>
      </c>
      <c r="C291" s="32" t="n">
        <v>243.01</v>
      </c>
      <c r="D291" s="31" t="s">
        <v>83</v>
      </c>
      <c r="E291" s="33" t="str">
        <f aca="false">IFERROR(INDEX(tCategories[Type],MATCH(tTransactions[[#This Row],[Category]],tCategories[Category],0)),"Unknown category")</f>
        <v>Expense</v>
      </c>
      <c r="F291" s="34" t="n">
        <f aca="false">MONTH(tTransactions[[#This Row],[Date]])</f>
        <v>9</v>
      </c>
      <c r="G291" s="34" t="n">
        <f aca="false">YEAR(tTransactions[[#This Row],[Date]])</f>
        <v>2026</v>
      </c>
    </row>
    <row r="292" customFormat="false" ht="15" hidden="false" customHeight="false" outlineLevel="0" collapsed="false">
      <c r="A292" s="30" t="n">
        <v>46277</v>
      </c>
      <c r="B292" s="31" t="s">
        <v>92</v>
      </c>
      <c r="C292" s="32" t="n">
        <v>900</v>
      </c>
      <c r="D292" s="31" t="s">
        <v>93</v>
      </c>
      <c r="E292" s="33" t="str">
        <f aca="false">IFERROR(INDEX(tCategories[Type],MATCH(tTransactions[[#This Row],[Category]],tCategories[Category],0)),"Unknown category")</f>
        <v>Loan payment</v>
      </c>
      <c r="F292" s="34" t="n">
        <f aca="false">MONTH(tTransactions[[#This Row],[Date]])</f>
        <v>9</v>
      </c>
      <c r="G292" s="34" t="n">
        <f aca="false">YEAR(tTransactions[[#This Row],[Date]])</f>
        <v>2026</v>
      </c>
    </row>
    <row r="293" customFormat="false" ht="15" hidden="false" customHeight="false" outlineLevel="0" collapsed="false">
      <c r="A293" s="30" t="n">
        <v>46278</v>
      </c>
      <c r="B293" s="31" t="s">
        <v>77</v>
      </c>
      <c r="C293" s="32" t="n">
        <v>26.85</v>
      </c>
      <c r="D293" s="31"/>
      <c r="E293" s="33" t="str">
        <f aca="false">IFERROR(INDEX(tCategories[Type],MATCH(tTransactions[[#This Row],[Category]],tCategories[Category],0)),"Unknown category")</f>
        <v>Expense</v>
      </c>
      <c r="F293" s="34" t="n">
        <f aca="false">MONTH(tTransactions[[#This Row],[Date]])</f>
        <v>9</v>
      </c>
      <c r="G293" s="34" t="n">
        <f aca="false">YEAR(tTransactions[[#This Row],[Date]])</f>
        <v>2026</v>
      </c>
    </row>
    <row r="294" customFormat="false" ht="15" hidden="false" customHeight="false" outlineLevel="0" collapsed="false">
      <c r="A294" s="30" t="n">
        <v>46279</v>
      </c>
      <c r="B294" s="31" t="s">
        <v>77</v>
      </c>
      <c r="C294" s="32" t="n">
        <v>86.31</v>
      </c>
      <c r="D294" s="31" t="s">
        <v>81</v>
      </c>
      <c r="E294" s="33" t="str">
        <f aca="false">IFERROR(INDEX(tCategories[Type],MATCH(tTransactions[[#This Row],[Category]],tCategories[Category],0)),"Unknown category")</f>
        <v>Expense</v>
      </c>
      <c r="F294" s="34" t="n">
        <f aca="false">MONTH(tTransactions[[#This Row],[Date]])</f>
        <v>9</v>
      </c>
      <c r="G294" s="34" t="n">
        <f aca="false">YEAR(tTransactions[[#This Row],[Date]])</f>
        <v>2026</v>
      </c>
    </row>
    <row r="295" customFormat="false" ht="15" hidden="false" customHeight="false" outlineLevel="0" collapsed="false">
      <c r="A295" s="30" t="n">
        <v>46279</v>
      </c>
      <c r="B295" s="31" t="s">
        <v>84</v>
      </c>
      <c r="C295" s="32" t="n">
        <v>59.81</v>
      </c>
      <c r="D295" s="31" t="s">
        <v>98</v>
      </c>
      <c r="E295" s="33" t="str">
        <f aca="false">IFERROR(INDEX(tCategories[Type],MATCH(tTransactions[[#This Row],[Category]],tCategories[Category],0)),"Unknown category")</f>
        <v>Expense</v>
      </c>
      <c r="F295" s="34" t="n">
        <f aca="false">MONTH(tTransactions[[#This Row],[Date]])</f>
        <v>9</v>
      </c>
      <c r="G295" s="34" t="n">
        <f aca="false">YEAR(tTransactions[[#This Row],[Date]])</f>
        <v>2026</v>
      </c>
    </row>
    <row r="296" customFormat="false" ht="15" hidden="false" customHeight="false" outlineLevel="0" collapsed="false">
      <c r="A296" s="30" t="n">
        <v>46280</v>
      </c>
      <c r="B296" s="31" t="s">
        <v>75</v>
      </c>
      <c r="C296" s="32" t="n">
        <v>380</v>
      </c>
      <c r="D296" s="31" t="s">
        <v>94</v>
      </c>
      <c r="E296" s="33" t="str">
        <f aca="false">IFERROR(INDEX(tCategories[Type],MATCH(tTransactions[[#This Row],[Category]],tCategories[Category],0)),"Unknown category")</f>
        <v>Expense</v>
      </c>
      <c r="F296" s="34" t="n">
        <f aca="false">MONTH(tTransactions[[#This Row],[Date]])</f>
        <v>9</v>
      </c>
      <c r="G296" s="34" t="n">
        <f aca="false">YEAR(tTransactions[[#This Row],[Date]])</f>
        <v>2026</v>
      </c>
    </row>
    <row r="297" customFormat="false" ht="15" hidden="false" customHeight="false" outlineLevel="0" collapsed="false">
      <c r="A297" s="30" t="n">
        <v>46280</v>
      </c>
      <c r="B297" s="31" t="s">
        <v>77</v>
      </c>
      <c r="C297" s="32" t="n">
        <v>46.06</v>
      </c>
      <c r="D297" s="31" t="s">
        <v>95</v>
      </c>
      <c r="E297" s="33" t="str">
        <f aca="false">IFERROR(INDEX(tCategories[Type],MATCH(tTransactions[[#This Row],[Category]],tCategories[Category],0)),"Unknown category")</f>
        <v>Expense</v>
      </c>
      <c r="F297" s="34" t="n">
        <f aca="false">MONTH(tTransactions[[#This Row],[Date]])</f>
        <v>9</v>
      </c>
      <c r="G297" s="34" t="n">
        <f aca="false">YEAR(tTransactions[[#This Row],[Date]])</f>
        <v>2026</v>
      </c>
    </row>
    <row r="298" customFormat="false" ht="15" hidden="false" customHeight="false" outlineLevel="0" collapsed="false">
      <c r="A298" s="30" t="n">
        <v>46280</v>
      </c>
      <c r="B298" s="31" t="s">
        <v>87</v>
      </c>
      <c r="C298" s="32" t="n">
        <v>219.35</v>
      </c>
      <c r="D298" s="31" t="s">
        <v>101</v>
      </c>
      <c r="E298" s="33" t="str">
        <f aca="false">IFERROR(INDEX(tCategories[Type],MATCH(tTransactions[[#This Row],[Category]],tCategories[Category],0)),"Unknown category")</f>
        <v>Expense</v>
      </c>
      <c r="F298" s="34" t="n">
        <f aca="false">MONTH(tTransactions[[#This Row],[Date]])</f>
        <v>9</v>
      </c>
      <c r="G298" s="34" t="n">
        <f aca="false">YEAR(tTransactions[[#This Row],[Date]])</f>
        <v>2026</v>
      </c>
    </row>
    <row r="299" customFormat="false" ht="15" hidden="false" customHeight="false" outlineLevel="0" collapsed="false">
      <c r="A299" s="30" t="n">
        <v>46281</v>
      </c>
      <c r="B299" s="31" t="s">
        <v>77</v>
      </c>
      <c r="C299" s="32" t="n">
        <v>51.43</v>
      </c>
      <c r="D299" s="31"/>
      <c r="E299" s="33" t="str">
        <f aca="false">IFERROR(INDEX(tCategories[Type],MATCH(tTransactions[[#This Row],[Category]],tCategories[Category],0)),"Unknown category")</f>
        <v>Expense</v>
      </c>
      <c r="F299" s="34" t="n">
        <f aca="false">MONTH(tTransactions[[#This Row],[Date]])</f>
        <v>9</v>
      </c>
      <c r="G299" s="34" t="n">
        <f aca="false">YEAR(tTransactions[[#This Row],[Date]])</f>
        <v>2026</v>
      </c>
    </row>
    <row r="300" customFormat="false" ht="15" hidden="false" customHeight="false" outlineLevel="0" collapsed="false">
      <c r="A300" s="30" t="n">
        <v>46283</v>
      </c>
      <c r="B300" s="31" t="s">
        <v>77</v>
      </c>
      <c r="C300" s="32" t="n">
        <v>44.27</v>
      </c>
      <c r="D300" s="31" t="s">
        <v>95</v>
      </c>
      <c r="E300" s="33" t="str">
        <f aca="false">IFERROR(INDEX(tCategories[Type],MATCH(tTransactions[[#This Row],[Category]],tCategories[Category],0)),"Unknown category")</f>
        <v>Expense</v>
      </c>
      <c r="F300" s="34" t="n">
        <f aca="false">MONTH(tTransactions[[#This Row],[Date]])</f>
        <v>9</v>
      </c>
      <c r="G300" s="34" t="n">
        <f aca="false">YEAR(tTransactions[[#This Row],[Date]])</f>
        <v>2026</v>
      </c>
    </row>
    <row r="301" customFormat="false" ht="15" hidden="false" customHeight="false" outlineLevel="0" collapsed="false">
      <c r="A301" s="30" t="n">
        <v>46283</v>
      </c>
      <c r="B301" s="31" t="s">
        <v>82</v>
      </c>
      <c r="C301" s="32" t="n">
        <v>184.64</v>
      </c>
      <c r="D301" s="31" t="s">
        <v>83</v>
      </c>
      <c r="E301" s="33" t="str">
        <f aca="false">IFERROR(INDEX(tCategories[Type],MATCH(tTransactions[[#This Row],[Category]],tCategories[Category],0)),"Unknown category")</f>
        <v>Expense</v>
      </c>
      <c r="F301" s="34" t="n">
        <f aca="false">MONTH(tTransactions[[#This Row],[Date]])</f>
        <v>9</v>
      </c>
      <c r="G301" s="34" t="n">
        <f aca="false">YEAR(tTransactions[[#This Row],[Date]])</f>
        <v>2026</v>
      </c>
    </row>
    <row r="302" customFormat="false" ht="15" hidden="false" customHeight="false" outlineLevel="0" collapsed="false">
      <c r="A302" s="30" t="n">
        <v>46284</v>
      </c>
      <c r="B302" s="31" t="s">
        <v>77</v>
      </c>
      <c r="C302" s="32" t="n">
        <v>147.32</v>
      </c>
      <c r="D302" s="31" t="s">
        <v>95</v>
      </c>
      <c r="E302" s="33" t="str">
        <f aca="false">IFERROR(INDEX(tCategories[Type],MATCH(tTransactions[[#This Row],[Category]],tCategories[Category],0)),"Unknown category")</f>
        <v>Expense</v>
      </c>
      <c r="F302" s="34" t="n">
        <f aca="false">MONTH(tTransactions[[#This Row],[Date]])</f>
        <v>9</v>
      </c>
      <c r="G302" s="34" t="n">
        <f aca="false">YEAR(tTransactions[[#This Row],[Date]])</f>
        <v>2026</v>
      </c>
    </row>
    <row r="303" customFormat="false" ht="15" hidden="false" customHeight="false" outlineLevel="0" collapsed="false">
      <c r="A303" s="30" t="n">
        <v>46285</v>
      </c>
      <c r="B303" s="31" t="s">
        <v>96</v>
      </c>
      <c r="C303" s="32" t="n">
        <v>120</v>
      </c>
      <c r="D303" s="31" t="s">
        <v>97</v>
      </c>
      <c r="E303" s="33" t="str">
        <f aca="false">IFERROR(INDEX(tCategories[Type],MATCH(tTransactions[[#This Row],[Category]],tCategories[Category],0)),"Unknown category")</f>
        <v>Expense</v>
      </c>
      <c r="F303" s="34" t="n">
        <f aca="false">MONTH(tTransactions[[#This Row],[Date]])</f>
        <v>9</v>
      </c>
      <c r="G303" s="34" t="n">
        <f aca="false">YEAR(tTransactions[[#This Row],[Date]])</f>
        <v>2026</v>
      </c>
    </row>
    <row r="304" customFormat="false" ht="15" hidden="false" customHeight="false" outlineLevel="0" collapsed="false">
      <c r="A304" s="30" t="n">
        <v>46289</v>
      </c>
      <c r="B304" s="31" t="s">
        <v>77</v>
      </c>
      <c r="C304" s="32" t="n">
        <v>75.17</v>
      </c>
      <c r="D304" s="31" t="s">
        <v>95</v>
      </c>
      <c r="E304" s="33" t="str">
        <f aca="false">IFERROR(INDEX(tCategories[Type],MATCH(tTransactions[[#This Row],[Category]],tCategories[Category],0)),"Unknown category")</f>
        <v>Expense</v>
      </c>
      <c r="F304" s="34" t="n">
        <f aca="false">MONTH(tTransactions[[#This Row],[Date]])</f>
        <v>9</v>
      </c>
      <c r="G304" s="34" t="n">
        <f aca="false">YEAR(tTransactions[[#This Row],[Date]])</f>
        <v>2026</v>
      </c>
    </row>
    <row r="305" customFormat="false" ht="15" hidden="false" customHeight="false" outlineLevel="0" collapsed="false">
      <c r="A305" s="30" t="n">
        <v>46290</v>
      </c>
      <c r="B305" s="31" t="s">
        <v>82</v>
      </c>
      <c r="C305" s="32" t="n">
        <v>253.94</v>
      </c>
      <c r="D305" s="31" t="s">
        <v>83</v>
      </c>
      <c r="E305" s="33" t="str">
        <f aca="false">IFERROR(INDEX(tCategories[Type],MATCH(tTransactions[[#This Row],[Category]],tCategories[Category],0)),"Unknown category")</f>
        <v>Expense</v>
      </c>
      <c r="F305" s="34" t="n">
        <f aca="false">MONTH(tTransactions[[#This Row],[Date]])</f>
        <v>9</v>
      </c>
      <c r="G305" s="34" t="n">
        <f aca="false">YEAR(tTransactions[[#This Row],[Date]])</f>
        <v>2026</v>
      </c>
    </row>
    <row r="306" customFormat="false" ht="15" hidden="false" customHeight="false" outlineLevel="0" collapsed="false">
      <c r="A306" s="30" t="n">
        <v>46292</v>
      </c>
      <c r="B306" s="31" t="s">
        <v>77</v>
      </c>
      <c r="C306" s="32" t="n">
        <v>140.49</v>
      </c>
      <c r="D306" s="31"/>
      <c r="E306" s="33" t="str">
        <f aca="false">IFERROR(INDEX(tCategories[Type],MATCH(tTransactions[[#This Row],[Category]],tCategories[Category],0)),"Unknown category")</f>
        <v>Expense</v>
      </c>
      <c r="F306" s="34" t="n">
        <f aca="false">MONTH(tTransactions[[#This Row],[Date]])</f>
        <v>9</v>
      </c>
      <c r="G306" s="34" t="n">
        <f aca="false">YEAR(tTransactions[[#This Row],[Date]])</f>
        <v>2026</v>
      </c>
    </row>
    <row r="307" customFormat="false" ht="15" hidden="false" customHeight="false" outlineLevel="0" collapsed="false">
      <c r="A307" s="30" t="n">
        <v>46293</v>
      </c>
      <c r="B307" s="31" t="s">
        <v>77</v>
      </c>
      <c r="C307" s="32" t="n">
        <v>152.55</v>
      </c>
      <c r="D307" s="31"/>
      <c r="E307" s="33" t="str">
        <f aca="false">IFERROR(INDEX(tCategories[Type],MATCH(tTransactions[[#This Row],[Category]],tCategories[Category],0)),"Unknown category")</f>
        <v>Expense</v>
      </c>
      <c r="F307" s="34" t="n">
        <f aca="false">MONTH(tTransactions[[#This Row],[Date]])</f>
        <v>9</v>
      </c>
      <c r="G307" s="34" t="n">
        <f aca="false">YEAR(tTransactions[[#This Row],[Date]])</f>
        <v>2026</v>
      </c>
    </row>
    <row r="308" customFormat="false" ht="15" hidden="false" customHeight="false" outlineLevel="0" collapsed="false">
      <c r="A308" s="30" t="n">
        <v>46293</v>
      </c>
      <c r="B308" s="31" t="s">
        <v>87</v>
      </c>
      <c r="C308" s="32" t="n">
        <v>154.53</v>
      </c>
      <c r="D308" s="31" t="s">
        <v>88</v>
      </c>
      <c r="E308" s="33" t="str">
        <f aca="false">IFERROR(INDEX(tCategories[Type],MATCH(tTransactions[[#This Row],[Category]],tCategories[Category],0)),"Unknown category")</f>
        <v>Expense</v>
      </c>
      <c r="F308" s="34" t="n">
        <f aca="false">MONTH(tTransactions[[#This Row],[Date]])</f>
        <v>9</v>
      </c>
      <c r="G308" s="34" t="n">
        <f aca="false">YEAR(tTransactions[[#This Row],[Date]])</f>
        <v>2026</v>
      </c>
    </row>
    <row r="309" customFormat="false" ht="15" hidden="false" customHeight="false" outlineLevel="0" collapsed="false">
      <c r="A309" s="30" t="n">
        <v>46293</v>
      </c>
      <c r="B309" s="31" t="s">
        <v>79</v>
      </c>
      <c r="C309" s="32" t="n">
        <v>514.5</v>
      </c>
      <c r="D309" s="31" t="s">
        <v>80</v>
      </c>
      <c r="E309" s="33" t="str">
        <f aca="false">IFERROR(INDEX(tCategories[Type],MATCH(tTransactions[[#This Row],[Category]],tCategories[Category],0)),"Unknown category")</f>
        <v>Income</v>
      </c>
      <c r="F309" s="34" t="n">
        <f aca="false">MONTH(tTransactions[[#This Row],[Date]])</f>
        <v>9</v>
      </c>
      <c r="G309" s="34" t="n">
        <f aca="false">YEAR(tTransactions[[#This Row],[Date]])</f>
        <v>2026</v>
      </c>
    </row>
  </sheetData>
  <conditionalFormatting sqref="E2:E5000">
    <cfRule type="expression" priority="2" aboveAverage="0" equalAverage="0" bottom="0" percent="0" rank="0" text="" dxfId="10">
      <formula>E2="Unknown category"</formula>
    </cfRule>
  </conditionalFormatting>
  <dataValidations count="1">
    <dataValidation allowBlank="false" errorStyle="stop" operator="between" showDropDown="false" showErrorMessage="false" showInputMessage="false" sqref="B2:B1309" type="list">
      <formula1>INDIRECT("tCategories[Category]")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5" min="5" style="0" width="17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29" t="s">
        <v>46</v>
      </c>
      <c r="B1" s="29" t="s">
        <v>72</v>
      </c>
      <c r="C1" s="29" t="s">
        <v>110</v>
      </c>
      <c r="E1" s="6" t="s">
        <v>111</v>
      </c>
    </row>
    <row r="2" customFormat="false" ht="15" hidden="false" customHeight="false" outlineLevel="0" collapsed="false">
      <c r="A2" s="35" t="s">
        <v>96</v>
      </c>
      <c r="B2" s="31" t="s">
        <v>112</v>
      </c>
      <c r="C2" s="36" t="n">
        <v>400</v>
      </c>
      <c r="E2" s="6" t="s">
        <v>112</v>
      </c>
      <c r="F2" s="34" t="s">
        <v>113</v>
      </c>
    </row>
    <row r="3" customFormat="false" ht="15" hidden="false" customHeight="false" outlineLevel="0" collapsed="false">
      <c r="A3" s="35" t="s">
        <v>77</v>
      </c>
      <c r="B3" s="31" t="s">
        <v>112</v>
      </c>
      <c r="C3" s="36" t="n">
        <v>1400</v>
      </c>
      <c r="E3" s="6" t="s">
        <v>60</v>
      </c>
      <c r="F3" s="34" t="s">
        <v>114</v>
      </c>
    </row>
    <row r="4" customFormat="false" ht="15" hidden="false" customHeight="false" outlineLevel="0" collapsed="false">
      <c r="A4" s="35" t="s">
        <v>82</v>
      </c>
      <c r="B4" s="31" t="s">
        <v>112</v>
      </c>
      <c r="C4" s="36" t="n">
        <v>900</v>
      </c>
      <c r="E4" s="6" t="s">
        <v>115</v>
      </c>
      <c r="F4" s="34" t="s">
        <v>116</v>
      </c>
    </row>
    <row r="5" customFormat="false" ht="15" hidden="false" customHeight="false" outlineLevel="0" collapsed="false">
      <c r="A5" s="35" t="s">
        <v>99</v>
      </c>
      <c r="B5" s="31" t="s">
        <v>112</v>
      </c>
      <c r="C5" s="36" t="n">
        <v>300</v>
      </c>
      <c r="E5" s="6" t="s">
        <v>92</v>
      </c>
      <c r="F5" s="34" t="s">
        <v>117</v>
      </c>
    </row>
    <row r="6" customFormat="false" ht="15" hidden="false" customHeight="false" outlineLevel="0" collapsed="false">
      <c r="A6" s="35" t="s">
        <v>75</v>
      </c>
      <c r="B6" s="31" t="s">
        <v>112</v>
      </c>
      <c r="C6" s="36" t="n">
        <v>2700</v>
      </c>
      <c r="E6" s="6" t="s">
        <v>118</v>
      </c>
      <c r="F6" s="34" t="s">
        <v>119</v>
      </c>
    </row>
    <row r="7" customFormat="false" ht="15" hidden="false" customHeight="false" outlineLevel="0" collapsed="false">
      <c r="A7" s="35" t="s">
        <v>87</v>
      </c>
      <c r="B7" s="31" t="s">
        <v>112</v>
      </c>
      <c r="C7" s="36" t="n">
        <v>600</v>
      </c>
      <c r="E7" s="6" t="s">
        <v>120</v>
      </c>
      <c r="F7" s="34" t="s">
        <v>121</v>
      </c>
    </row>
    <row r="8" customFormat="false" ht="15" hidden="false" customHeight="false" outlineLevel="0" collapsed="false">
      <c r="A8" s="35" t="s">
        <v>84</v>
      </c>
      <c r="B8" s="31" t="s">
        <v>112</v>
      </c>
      <c r="C8" s="36" t="n">
        <v>400</v>
      </c>
    </row>
    <row r="9" customFormat="false" ht="15" hidden="false" customHeight="false" outlineLevel="0" collapsed="false">
      <c r="A9" s="35" t="s">
        <v>108</v>
      </c>
      <c r="B9" s="31" t="s">
        <v>112</v>
      </c>
      <c r="C9" s="36" t="n">
        <v>150</v>
      </c>
    </row>
    <row r="10" customFormat="false" ht="15" hidden="false" customHeight="false" outlineLevel="0" collapsed="false">
      <c r="A10" s="35" t="s">
        <v>89</v>
      </c>
      <c r="B10" s="31" t="s">
        <v>60</v>
      </c>
      <c r="C10" s="36"/>
    </row>
    <row r="11" customFormat="false" ht="15" hidden="false" customHeight="false" outlineLevel="0" collapsed="false">
      <c r="A11" s="35" t="s">
        <v>79</v>
      </c>
      <c r="B11" s="31" t="s">
        <v>60</v>
      </c>
      <c r="C11" s="36"/>
    </row>
    <row r="12" customFormat="false" ht="15" hidden="false" customHeight="false" outlineLevel="0" collapsed="false">
      <c r="A12" s="35" t="s">
        <v>62</v>
      </c>
      <c r="B12" s="31" t="s">
        <v>115</v>
      </c>
      <c r="C12" s="36"/>
    </row>
    <row r="13" customFormat="false" ht="15" hidden="false" customHeight="false" outlineLevel="0" collapsed="false">
      <c r="A13" s="35" t="s">
        <v>92</v>
      </c>
      <c r="B13" s="31" t="s">
        <v>92</v>
      </c>
      <c r="C13" s="36"/>
    </row>
    <row r="14" customFormat="false" ht="15" hidden="false" customHeight="false" outlineLevel="0" collapsed="false">
      <c r="A14" s="35" t="s">
        <v>102</v>
      </c>
      <c r="B14" s="31" t="s">
        <v>118</v>
      </c>
      <c r="C14" s="36"/>
    </row>
    <row r="15" customFormat="false" ht="15" hidden="false" customHeight="false" outlineLevel="0" collapsed="false">
      <c r="A15" s="35" t="s">
        <v>106</v>
      </c>
      <c r="B15" s="31" t="s">
        <v>120</v>
      </c>
      <c r="C15" s="36"/>
    </row>
  </sheetData>
  <dataValidations count="1">
    <dataValidation allowBlank="false" errorStyle="stop" operator="between" showDropDown="false" showErrorMessage="false" showInputMessage="false" sqref="B2:B100" type="list">
      <formula1>"Expense,Income,Investment,Loan payment,Private loan out,Private loan 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8"/>
  </cols>
  <sheetData>
    <row r="2" customFormat="false" ht="17.35" hidden="false" customHeight="false" outlineLevel="0" collapsed="false">
      <c r="B2" s="37" t="s">
        <v>122</v>
      </c>
    </row>
    <row r="3" customFormat="false" ht="15" hidden="false" customHeight="false" outlineLevel="0" collapsed="false">
      <c r="B3" s="2" t="s">
        <v>123</v>
      </c>
    </row>
    <row r="5" customFormat="false" ht="15" hidden="false" customHeight="false" outlineLevel="0" collapsed="false">
      <c r="B5" s="38" t="s">
        <v>73</v>
      </c>
      <c r="C5" s="39" t="n">
        <v>2026</v>
      </c>
    </row>
    <row r="6" customFormat="false" ht="15" hidden="false" customHeight="false" outlineLevel="0" collapsed="false">
      <c r="B6" s="38" t="s">
        <v>124</v>
      </c>
      <c r="C6" s="40" t="n">
        <v>12000</v>
      </c>
    </row>
    <row r="7" customFormat="false" ht="15" hidden="false" customHeight="false" outlineLevel="0" collapsed="false">
      <c r="B7" s="38" t="s">
        <v>125</v>
      </c>
      <c r="C7" s="40" t="n">
        <v>18000</v>
      </c>
    </row>
    <row r="8" customFormat="false" ht="15" hidden="false" customHeight="false" outlineLevel="0" collapsed="false">
      <c r="B8" s="38" t="s">
        <v>126</v>
      </c>
      <c r="C8" s="40" t="n">
        <v>15000</v>
      </c>
    </row>
    <row r="9" customFormat="false" ht="15" hidden="false" customHeight="false" outlineLevel="0" collapsed="false">
      <c r="B9" s="38" t="s">
        <v>127</v>
      </c>
      <c r="C9" s="40" t="n">
        <v>6500</v>
      </c>
    </row>
    <row r="12" customFormat="false" ht="15" hidden="false" customHeight="false" outlineLevel="0" collapsed="false">
      <c r="B12" s="8" t="s">
        <v>128</v>
      </c>
    </row>
    <row r="13" customFormat="false" ht="15" hidden="false" customHeight="false" outlineLevel="0" collapsed="false">
      <c r="B13" s="41" t="s">
        <v>129</v>
      </c>
      <c r="C13" s="41" t="s">
        <v>70</v>
      </c>
      <c r="D13" s="41" t="s">
        <v>130</v>
      </c>
    </row>
    <row r="14" customFormat="false" ht="15" hidden="false" customHeight="false" outlineLevel="0" collapsed="false">
      <c r="B14" s="35" t="s">
        <v>131</v>
      </c>
      <c r="C14" s="36" t="n">
        <v>300</v>
      </c>
      <c r="D14" s="35" t="s">
        <v>132</v>
      </c>
    </row>
    <row r="15" customFormat="false" ht="15" hidden="false" customHeight="false" outlineLevel="0" collapsed="false">
      <c r="B15" s="35" t="s">
        <v>133</v>
      </c>
      <c r="C15" s="36" t="n">
        <v>800</v>
      </c>
      <c r="D15" s="35" t="s">
        <v>132</v>
      </c>
    </row>
    <row r="16" customFormat="false" ht="15" hidden="false" customHeight="false" outlineLevel="0" collapsed="false">
      <c r="B16" s="35" t="s">
        <v>134</v>
      </c>
      <c r="C16" s="36" t="n">
        <v>150</v>
      </c>
      <c r="D16" s="35" t="s">
        <v>135</v>
      </c>
    </row>
    <row r="18" customFormat="false" ht="15" hidden="false" customHeight="false" outlineLevel="0" collapsed="false">
      <c r="B18" s="6" t="s">
        <v>136</v>
      </c>
      <c r="C18" s="42" t="n">
        <f aca="false">SUMIFS(tDebts[Amount],tDebts[Settled? (Yes/No)],"No")</f>
        <v>1100</v>
      </c>
    </row>
  </sheetData>
  <dataValidations count="1">
    <dataValidation allowBlank="true" errorStyle="stop" operator="between" showDropDown="false" showErrorMessage="false" showInputMessage="false" sqref="D14:D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2026-10-06T11:36:12Z</dcterms:created>
  <dc:creator>openpyxl</dc:creator>
  <dc:description/>
  <dc:language>en-US</dc:language>
  <cp:lastModifiedBy/>
  <dcterms:modified xsi:type="dcterms:W3CDTF">2026-10-06T11:36:15Z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